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c19a2714dc50dcf/Documents/DAWS/"/>
    </mc:Choice>
  </mc:AlternateContent>
  <xr:revisionPtr revIDLastSave="58" documentId="13_ncr:1_{50FDA7F1-2540-4607-AFBA-A94D1B181699}" xr6:coauthVersionLast="47" xr6:coauthVersionMax="47" xr10:uidLastSave="{0AFA8D2C-3669-4D55-9FC0-B962807C7C86}"/>
  <bookViews>
    <workbookView xWindow="11110" yWindow="0" windowWidth="11380" windowHeight="13370" xr2:uid="{0E76F104-F179-40F6-9D42-E9C8DC79A43A}"/>
  </bookViews>
  <sheets>
    <sheet name="Prepared Sales Dataset" sheetId="6" r:id="rId1"/>
    <sheet name="Product-cost" sheetId="5" r:id="rId2"/>
    <sheet name="Taxrate" sheetId="2" r:id="rId3"/>
    <sheet name="Discount Rate" sheetId="3" r:id="rId4"/>
    <sheet name="Uncleaned Sales Dataset" sheetId="1" r:id="rId5"/>
  </sheets>
  <definedNames>
    <definedName name="_xlnm._FilterDatabase" localSheetId="0" hidden="1">'Prepared Sales Dataset'!$A$1:$AC$435</definedName>
    <definedName name="_xlnm._FilterDatabase" localSheetId="4" hidden="1">'Uncleaned Sales Dataset'!$A$1:$U$1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6" l="1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2" i="6"/>
  <c r="K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2" i="6"/>
  <c r="F2" i="6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225" i="6"/>
  <c r="V226" i="6"/>
  <c r="V227" i="6"/>
  <c r="V228" i="6"/>
  <c r="V229" i="6"/>
  <c r="V230" i="6"/>
  <c r="V231" i="6"/>
  <c r="V232" i="6"/>
  <c r="V233" i="6"/>
  <c r="V234" i="6"/>
  <c r="V235" i="6"/>
  <c r="V236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231" i="6"/>
  <c r="Z232" i="6"/>
  <c r="Z233" i="6"/>
  <c r="Z234" i="6"/>
  <c r="Z235" i="6"/>
  <c r="Z236" i="6"/>
  <c r="Z237" i="6"/>
  <c r="Z238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2" i="6"/>
  <c r="Z403" i="6"/>
  <c r="Z404" i="6"/>
  <c r="Z405" i="6"/>
  <c r="Z406" i="6"/>
  <c r="Z407" i="6"/>
  <c r="Z408" i="6"/>
  <c r="Z409" i="6"/>
  <c r="Z410" i="6"/>
  <c r="Z411" i="6"/>
  <c r="Z412" i="6"/>
  <c r="Z413" i="6"/>
  <c r="Z414" i="6"/>
  <c r="Z415" i="6"/>
  <c r="Z416" i="6"/>
  <c r="Z417" i="6"/>
  <c r="Z418" i="6"/>
  <c r="Z419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2" i="6"/>
  <c r="AA366" i="6" l="1"/>
  <c r="AA270" i="6"/>
  <c r="AA158" i="6"/>
  <c r="AA333" i="6"/>
  <c r="AA253" i="6"/>
  <c r="AA157" i="6"/>
  <c r="AA77" i="6"/>
  <c r="AA428" i="6"/>
  <c r="AA348" i="6"/>
  <c r="AA284" i="6"/>
  <c r="AA220" i="6"/>
  <c r="AA156" i="6"/>
  <c r="AA108" i="6"/>
  <c r="AA363" i="6"/>
  <c r="AA267" i="6"/>
  <c r="AA139" i="6"/>
  <c r="AA59" i="6"/>
  <c r="AA378" i="6"/>
  <c r="AA298" i="6"/>
  <c r="AA218" i="6"/>
  <c r="AA138" i="6"/>
  <c r="AA42" i="6"/>
  <c r="AA345" i="6"/>
  <c r="AA249" i="6"/>
  <c r="AA137" i="6"/>
  <c r="AA57" i="6"/>
  <c r="AA9" i="6"/>
  <c r="AA344" i="6"/>
  <c r="AA248" i="6"/>
  <c r="AA136" i="6"/>
  <c r="AA40" i="6"/>
  <c r="AA343" i="6"/>
  <c r="AA247" i="6"/>
  <c r="AA151" i="6"/>
  <c r="AA71" i="6"/>
  <c r="AA7" i="6"/>
  <c r="AA374" i="6"/>
  <c r="AA278" i="6"/>
  <c r="AA166" i="6"/>
  <c r="AA22" i="6"/>
  <c r="AA357" i="6"/>
  <c r="AA261" i="6"/>
  <c r="AA165" i="6"/>
  <c r="AA85" i="6"/>
  <c r="AA5" i="6"/>
  <c r="AA2" i="6"/>
  <c r="AA420" i="6"/>
  <c r="AA404" i="6"/>
  <c r="AA388" i="6"/>
  <c r="AA372" i="6"/>
  <c r="AA356" i="6"/>
  <c r="AA340" i="6"/>
  <c r="AA324" i="6"/>
  <c r="AA308" i="6"/>
  <c r="AA292" i="6"/>
  <c r="AA276" i="6"/>
  <c r="AA260" i="6"/>
  <c r="AA244" i="6"/>
  <c r="AA228" i="6"/>
  <c r="AA212" i="6"/>
  <c r="AA196" i="6"/>
  <c r="AA180" i="6"/>
  <c r="AA164" i="6"/>
  <c r="AA148" i="6"/>
  <c r="AA132" i="6"/>
  <c r="AA116" i="6"/>
  <c r="AA100" i="6"/>
  <c r="AA84" i="6"/>
  <c r="AA68" i="6"/>
  <c r="AA52" i="6"/>
  <c r="AA36" i="6"/>
  <c r="AA20" i="6"/>
  <c r="AA4" i="6"/>
  <c r="AA382" i="6"/>
  <c r="AA318" i="6"/>
  <c r="AA254" i="6"/>
  <c r="AA190" i="6"/>
  <c r="AA94" i="6"/>
  <c r="AA14" i="6"/>
  <c r="AA429" i="6"/>
  <c r="AA349" i="6"/>
  <c r="AA221" i="6"/>
  <c r="AA109" i="6"/>
  <c r="AA45" i="6"/>
  <c r="AA396" i="6"/>
  <c r="AA332" i="6"/>
  <c r="AA300" i="6"/>
  <c r="AA236" i="6"/>
  <c r="AA172" i="6"/>
  <c r="AA124" i="6"/>
  <c r="AA92" i="6"/>
  <c r="AA12" i="6"/>
  <c r="AA379" i="6"/>
  <c r="AA299" i="6"/>
  <c r="AA171" i="6"/>
  <c r="AA75" i="6"/>
  <c r="AA410" i="6"/>
  <c r="AA314" i="6"/>
  <c r="AA202" i="6"/>
  <c r="AA106" i="6"/>
  <c r="AA361" i="6"/>
  <c r="AA265" i="6"/>
  <c r="AA169" i="6"/>
  <c r="AA73" i="6"/>
  <c r="AA408" i="6"/>
  <c r="AA280" i="6"/>
  <c r="AA184" i="6"/>
  <c r="AA72" i="6"/>
  <c r="AA359" i="6"/>
  <c r="AA263" i="6"/>
  <c r="AA167" i="6"/>
  <c r="AA103" i="6"/>
  <c r="AA390" i="6"/>
  <c r="AA294" i="6"/>
  <c r="AA182" i="6"/>
  <c r="AA325" i="6"/>
  <c r="AA229" i="6"/>
  <c r="AA149" i="6"/>
  <c r="AA53" i="6"/>
  <c r="Y435" i="6"/>
  <c r="AA435" i="6"/>
  <c r="AA419" i="6"/>
  <c r="AA403" i="6"/>
  <c r="AA387" i="6"/>
  <c r="AA371" i="6"/>
  <c r="AA355" i="6"/>
  <c r="AA339" i="6"/>
  <c r="AA323" i="6"/>
  <c r="AA307" i="6"/>
  <c r="AA291" i="6"/>
  <c r="AA275" i="6"/>
  <c r="AA259" i="6"/>
  <c r="AA243" i="6"/>
  <c r="AA227" i="6"/>
  <c r="AA211" i="6"/>
  <c r="AA195" i="6"/>
  <c r="AA179" i="6"/>
  <c r="AA163" i="6"/>
  <c r="AA147" i="6"/>
  <c r="AA131" i="6"/>
  <c r="AA115" i="6"/>
  <c r="AA99" i="6"/>
  <c r="AA83" i="6"/>
  <c r="AA67" i="6"/>
  <c r="AA51" i="6"/>
  <c r="AA35" i="6"/>
  <c r="AA19" i="6"/>
  <c r="AA3" i="6"/>
  <c r="AA398" i="6"/>
  <c r="AA286" i="6"/>
  <c r="AA174" i="6"/>
  <c r="AA381" i="6"/>
  <c r="AA285" i="6"/>
  <c r="AA173" i="6"/>
  <c r="AA61" i="6"/>
  <c r="AA380" i="6"/>
  <c r="AA268" i="6"/>
  <c r="AA140" i="6"/>
  <c r="AA28" i="6"/>
  <c r="AA347" i="6"/>
  <c r="AA251" i="6"/>
  <c r="AA155" i="6"/>
  <c r="AA43" i="6"/>
  <c r="AA426" i="6"/>
  <c r="AA362" i="6"/>
  <c r="AA266" i="6"/>
  <c r="AA186" i="6"/>
  <c r="AA90" i="6"/>
  <c r="AA425" i="6"/>
  <c r="AA329" i="6"/>
  <c r="AA233" i="6"/>
  <c r="AA153" i="6"/>
  <c r="AA41" i="6"/>
  <c r="AA360" i="6"/>
  <c r="AA264" i="6"/>
  <c r="AA168" i="6"/>
  <c r="AA88" i="6"/>
  <c r="AA423" i="6"/>
  <c r="AA295" i="6"/>
  <c r="AA199" i="6"/>
  <c r="AA119" i="6"/>
  <c r="AA23" i="6"/>
  <c r="AA326" i="6"/>
  <c r="AA246" i="6"/>
  <c r="AA134" i="6"/>
  <c r="AA38" i="6"/>
  <c r="AA389" i="6"/>
  <c r="AA277" i="6"/>
  <c r="AA181" i="6"/>
  <c r="AA101" i="6"/>
  <c r="AA21" i="6"/>
  <c r="AA434" i="6"/>
  <c r="AA418" i="6"/>
  <c r="AA402" i="6"/>
  <c r="AA386" i="6"/>
  <c r="AA370" i="6"/>
  <c r="AA354" i="6"/>
  <c r="AA338" i="6"/>
  <c r="AA322" i="6"/>
  <c r="AA306" i="6"/>
  <c r="AA290" i="6"/>
  <c r="AA274" i="6"/>
  <c r="AA258" i="6"/>
  <c r="AA242" i="6"/>
  <c r="AA226" i="6"/>
  <c r="AA210" i="6"/>
  <c r="AA194" i="6"/>
  <c r="AA178" i="6"/>
  <c r="AA162" i="6"/>
  <c r="AA146" i="6"/>
  <c r="AA130" i="6"/>
  <c r="AA114" i="6"/>
  <c r="AA98" i="6"/>
  <c r="AA82" i="6"/>
  <c r="AA66" i="6"/>
  <c r="AA50" i="6"/>
  <c r="AA34" i="6"/>
  <c r="AA18" i="6"/>
  <c r="AA430" i="6"/>
  <c r="AA302" i="6"/>
  <c r="AA206" i="6"/>
  <c r="AA110" i="6"/>
  <c r="AA30" i="6"/>
  <c r="AA317" i="6"/>
  <c r="AA189" i="6"/>
  <c r="AA412" i="6"/>
  <c r="AA252" i="6"/>
  <c r="AA76" i="6"/>
  <c r="AA411" i="6"/>
  <c r="AA283" i="6"/>
  <c r="AA203" i="6"/>
  <c r="AA91" i="6"/>
  <c r="AA11" i="6"/>
  <c r="AA394" i="6"/>
  <c r="AA330" i="6"/>
  <c r="AA250" i="6"/>
  <c r="AA154" i="6"/>
  <c r="AA74" i="6"/>
  <c r="AA10" i="6"/>
  <c r="AA409" i="6"/>
  <c r="AA313" i="6"/>
  <c r="AA217" i="6"/>
  <c r="AA121" i="6"/>
  <c r="AA25" i="6"/>
  <c r="AA424" i="6"/>
  <c r="AA312" i="6"/>
  <c r="AA216" i="6"/>
  <c r="AA120" i="6"/>
  <c r="AA24" i="6"/>
  <c r="AA407" i="6"/>
  <c r="AA327" i="6"/>
  <c r="AA215" i="6"/>
  <c r="AA87" i="6"/>
  <c r="AA358" i="6"/>
  <c r="AA230" i="6"/>
  <c r="AA86" i="6"/>
  <c r="AA341" i="6"/>
  <c r="AA245" i="6"/>
  <c r="AA133" i="6"/>
  <c r="AA37" i="6"/>
  <c r="AA433" i="6"/>
  <c r="AA417" i="6"/>
  <c r="AA401" i="6"/>
  <c r="AA385" i="6"/>
  <c r="AA369" i="6"/>
  <c r="AA353" i="6"/>
  <c r="AA337" i="6"/>
  <c r="AA321" i="6"/>
  <c r="AA305" i="6"/>
  <c r="AA289" i="6"/>
  <c r="AA273" i="6"/>
  <c r="AA257" i="6"/>
  <c r="AA241" i="6"/>
  <c r="AA225" i="6"/>
  <c r="AA209" i="6"/>
  <c r="AA193" i="6"/>
  <c r="AA177" i="6"/>
  <c r="AA161" i="6"/>
  <c r="AA145" i="6"/>
  <c r="AA129" i="6"/>
  <c r="AA113" i="6"/>
  <c r="AA97" i="6"/>
  <c r="AA81" i="6"/>
  <c r="AA65" i="6"/>
  <c r="AA49" i="6"/>
  <c r="AA33" i="6"/>
  <c r="AA17" i="6"/>
  <c r="AA414" i="6"/>
  <c r="AA334" i="6"/>
  <c r="AA222" i="6"/>
  <c r="AA142" i="6"/>
  <c r="AA78" i="6"/>
  <c r="AA62" i="6"/>
  <c r="AA46" i="6"/>
  <c r="AA413" i="6"/>
  <c r="AA365" i="6"/>
  <c r="AA269" i="6"/>
  <c r="AA141" i="6"/>
  <c r="AA29" i="6"/>
  <c r="AA316" i="6"/>
  <c r="AA188" i="6"/>
  <c r="AA44" i="6"/>
  <c r="AA395" i="6"/>
  <c r="AA331" i="6"/>
  <c r="AA235" i="6"/>
  <c r="AA187" i="6"/>
  <c r="AA107" i="6"/>
  <c r="AA27" i="6"/>
  <c r="AA346" i="6"/>
  <c r="AA282" i="6"/>
  <c r="AA234" i="6"/>
  <c r="AA170" i="6"/>
  <c r="AA122" i="6"/>
  <c r="AA58" i="6"/>
  <c r="AA26" i="6"/>
  <c r="AA393" i="6"/>
  <c r="AA281" i="6"/>
  <c r="AA185" i="6"/>
  <c r="AA89" i="6"/>
  <c r="AA392" i="6"/>
  <c r="AA328" i="6"/>
  <c r="AA232" i="6"/>
  <c r="AA152" i="6"/>
  <c r="AA56" i="6"/>
  <c r="AA8" i="6"/>
  <c r="AA391" i="6"/>
  <c r="AA311" i="6"/>
  <c r="AA231" i="6"/>
  <c r="AA135" i="6"/>
  <c r="AA39" i="6"/>
  <c r="AA406" i="6"/>
  <c r="AA342" i="6"/>
  <c r="AA262" i="6"/>
  <c r="AA214" i="6"/>
  <c r="AA150" i="6"/>
  <c r="AA118" i="6"/>
  <c r="AA102" i="6"/>
  <c r="AA54" i="6"/>
  <c r="AA6" i="6"/>
  <c r="AA421" i="6"/>
  <c r="AA373" i="6"/>
  <c r="AA309" i="6"/>
  <c r="AA197" i="6"/>
  <c r="AA69" i="6"/>
  <c r="AA432" i="6"/>
  <c r="AA416" i="6"/>
  <c r="AA400" i="6"/>
  <c r="AA384" i="6"/>
  <c r="AA368" i="6"/>
  <c r="AA352" i="6"/>
  <c r="AA336" i="6"/>
  <c r="AA320" i="6"/>
  <c r="AA304" i="6"/>
  <c r="AA288" i="6"/>
  <c r="AA272" i="6"/>
  <c r="AA256" i="6"/>
  <c r="AA240" i="6"/>
  <c r="AA224" i="6"/>
  <c r="AA208" i="6"/>
  <c r="AA192" i="6"/>
  <c r="AA176" i="6"/>
  <c r="AA160" i="6"/>
  <c r="AA144" i="6"/>
  <c r="AA128" i="6"/>
  <c r="AA112" i="6"/>
  <c r="AA96" i="6"/>
  <c r="AA80" i="6"/>
  <c r="AA64" i="6"/>
  <c r="AA48" i="6"/>
  <c r="AA32" i="6"/>
  <c r="AA16" i="6"/>
  <c r="AA350" i="6"/>
  <c r="AA238" i="6"/>
  <c r="AA126" i="6"/>
  <c r="AA397" i="6"/>
  <c r="AA301" i="6"/>
  <c r="AA237" i="6"/>
  <c r="AA205" i="6"/>
  <c r="AA125" i="6"/>
  <c r="AA93" i="6"/>
  <c r="AA13" i="6"/>
  <c r="AA364" i="6"/>
  <c r="AA204" i="6"/>
  <c r="AA60" i="6"/>
  <c r="AA427" i="6"/>
  <c r="AA315" i="6"/>
  <c r="AA219" i="6"/>
  <c r="AA123" i="6"/>
  <c r="AA377" i="6"/>
  <c r="AA297" i="6"/>
  <c r="AA201" i="6"/>
  <c r="AA105" i="6"/>
  <c r="AA376" i="6"/>
  <c r="AA296" i="6"/>
  <c r="AA200" i="6"/>
  <c r="AA104" i="6"/>
  <c r="AA375" i="6"/>
  <c r="AA279" i="6"/>
  <c r="AA183" i="6"/>
  <c r="AA55" i="6"/>
  <c r="AA422" i="6"/>
  <c r="AA310" i="6"/>
  <c r="AA198" i="6"/>
  <c r="AA70" i="6"/>
  <c r="AA405" i="6"/>
  <c r="AA293" i="6"/>
  <c r="AA213" i="6"/>
  <c r="AA117" i="6"/>
  <c r="AA431" i="6"/>
  <c r="AA415" i="6"/>
  <c r="AA399" i="6"/>
  <c r="AA383" i="6"/>
  <c r="AA367" i="6"/>
  <c r="AA351" i="6"/>
  <c r="AA335" i="6"/>
  <c r="AA319" i="6"/>
  <c r="AA303" i="6"/>
  <c r="AA287" i="6"/>
  <c r="AA271" i="6"/>
  <c r="AA255" i="6"/>
  <c r="AA239" i="6"/>
  <c r="AA223" i="6"/>
  <c r="AA207" i="6"/>
  <c r="AA191" i="6"/>
  <c r="AA175" i="6"/>
  <c r="AA159" i="6"/>
  <c r="AA143" i="6"/>
  <c r="AA127" i="6"/>
  <c r="AA111" i="6"/>
  <c r="AA95" i="6"/>
  <c r="AA79" i="6"/>
  <c r="AA63" i="6"/>
  <c r="AA47" i="6"/>
  <c r="AA31" i="6"/>
  <c r="AA15" i="6"/>
  <c r="X3" i="6"/>
  <c r="Y3" i="6" s="1"/>
  <c r="AB3" i="6" s="1"/>
  <c r="X4" i="6"/>
  <c r="Y4" i="6" s="1"/>
  <c r="X5" i="6"/>
  <c r="Y5" i="6" s="1"/>
  <c r="X6" i="6"/>
  <c r="Y6" i="6" s="1"/>
  <c r="X7" i="6"/>
  <c r="Y7" i="6" s="1"/>
  <c r="X8" i="6"/>
  <c r="Y8" i="6" s="1"/>
  <c r="X9" i="6"/>
  <c r="Y9" i="6" s="1"/>
  <c r="X10" i="6"/>
  <c r="Y10" i="6" s="1"/>
  <c r="X11" i="6"/>
  <c r="Y11" i="6" s="1"/>
  <c r="X12" i="6"/>
  <c r="Y12" i="6" s="1"/>
  <c r="X13" i="6"/>
  <c r="Y13" i="6" s="1"/>
  <c r="X14" i="6"/>
  <c r="Y14" i="6" s="1"/>
  <c r="X15" i="6"/>
  <c r="Y15" i="6" s="1"/>
  <c r="X16" i="6"/>
  <c r="Y16" i="6" s="1"/>
  <c r="X17" i="6"/>
  <c r="Y17" i="6" s="1"/>
  <c r="X18" i="6"/>
  <c r="Y18" i="6" s="1"/>
  <c r="X19" i="6"/>
  <c r="Y19" i="6" s="1"/>
  <c r="X20" i="6"/>
  <c r="Y20" i="6" s="1"/>
  <c r="X21" i="6"/>
  <c r="Y21" i="6" s="1"/>
  <c r="X22" i="6"/>
  <c r="Y22" i="6" s="1"/>
  <c r="X23" i="6"/>
  <c r="Y23" i="6" s="1"/>
  <c r="X24" i="6"/>
  <c r="Y24" i="6" s="1"/>
  <c r="X25" i="6"/>
  <c r="Y25" i="6" s="1"/>
  <c r="X26" i="6"/>
  <c r="Y26" i="6" s="1"/>
  <c r="X27" i="6"/>
  <c r="Y27" i="6" s="1"/>
  <c r="X28" i="6"/>
  <c r="Y28" i="6" s="1"/>
  <c r="X29" i="6"/>
  <c r="Y29" i="6" s="1"/>
  <c r="X30" i="6"/>
  <c r="Y30" i="6" s="1"/>
  <c r="X31" i="6"/>
  <c r="Y31" i="6" s="1"/>
  <c r="X32" i="6"/>
  <c r="Y32" i="6" s="1"/>
  <c r="X33" i="6"/>
  <c r="Y33" i="6" s="1"/>
  <c r="X34" i="6"/>
  <c r="Y34" i="6" s="1"/>
  <c r="X35" i="6"/>
  <c r="Y35" i="6" s="1"/>
  <c r="X36" i="6"/>
  <c r="Y36" i="6" s="1"/>
  <c r="X37" i="6"/>
  <c r="Y37" i="6" s="1"/>
  <c r="X38" i="6"/>
  <c r="Y38" i="6" s="1"/>
  <c r="X39" i="6"/>
  <c r="Y39" i="6" s="1"/>
  <c r="X40" i="6"/>
  <c r="Y40" i="6" s="1"/>
  <c r="X41" i="6"/>
  <c r="Y41" i="6" s="1"/>
  <c r="X42" i="6"/>
  <c r="Y42" i="6" s="1"/>
  <c r="X43" i="6"/>
  <c r="Y43" i="6" s="1"/>
  <c r="X44" i="6"/>
  <c r="Y44" i="6" s="1"/>
  <c r="X45" i="6"/>
  <c r="Y45" i="6" s="1"/>
  <c r="AB45" i="6" s="1"/>
  <c r="X46" i="6"/>
  <c r="Y46" i="6" s="1"/>
  <c r="X47" i="6"/>
  <c r="Y47" i="6" s="1"/>
  <c r="X48" i="6"/>
  <c r="Y48" i="6" s="1"/>
  <c r="X49" i="6"/>
  <c r="Y49" i="6" s="1"/>
  <c r="X50" i="6"/>
  <c r="Y50" i="6" s="1"/>
  <c r="X51" i="6"/>
  <c r="Y51" i="6" s="1"/>
  <c r="X52" i="6"/>
  <c r="Y52" i="6" s="1"/>
  <c r="X53" i="6"/>
  <c r="Y53" i="6" s="1"/>
  <c r="X54" i="6"/>
  <c r="Y54" i="6" s="1"/>
  <c r="X55" i="6"/>
  <c r="Y55" i="6" s="1"/>
  <c r="X56" i="6"/>
  <c r="Y56" i="6" s="1"/>
  <c r="X57" i="6"/>
  <c r="Y57" i="6" s="1"/>
  <c r="AB57" i="6" s="1"/>
  <c r="X58" i="6"/>
  <c r="Y58" i="6" s="1"/>
  <c r="X59" i="6"/>
  <c r="Y59" i="6" s="1"/>
  <c r="X60" i="6"/>
  <c r="Y60" i="6" s="1"/>
  <c r="X61" i="6"/>
  <c r="Y61" i="6" s="1"/>
  <c r="X62" i="6"/>
  <c r="Y62" i="6" s="1"/>
  <c r="X63" i="6"/>
  <c r="Y63" i="6" s="1"/>
  <c r="X64" i="6"/>
  <c r="Y64" i="6" s="1"/>
  <c r="X65" i="6"/>
  <c r="Y65" i="6" s="1"/>
  <c r="X66" i="6"/>
  <c r="Y66" i="6" s="1"/>
  <c r="X67" i="6"/>
  <c r="Y67" i="6" s="1"/>
  <c r="X68" i="6"/>
  <c r="Y68" i="6" s="1"/>
  <c r="X69" i="6"/>
  <c r="Y69" i="6" s="1"/>
  <c r="X70" i="6"/>
  <c r="Y70" i="6" s="1"/>
  <c r="X71" i="6"/>
  <c r="Y71" i="6" s="1"/>
  <c r="X72" i="6"/>
  <c r="Y72" i="6" s="1"/>
  <c r="X73" i="6"/>
  <c r="Y73" i="6" s="1"/>
  <c r="X74" i="6"/>
  <c r="Y74" i="6" s="1"/>
  <c r="X75" i="6"/>
  <c r="Y75" i="6" s="1"/>
  <c r="X76" i="6"/>
  <c r="Y76" i="6" s="1"/>
  <c r="X77" i="6"/>
  <c r="Y77" i="6" s="1"/>
  <c r="X78" i="6"/>
  <c r="Y78" i="6" s="1"/>
  <c r="X79" i="6"/>
  <c r="Y79" i="6" s="1"/>
  <c r="X80" i="6"/>
  <c r="Y80" i="6" s="1"/>
  <c r="X81" i="6"/>
  <c r="Y81" i="6" s="1"/>
  <c r="X82" i="6"/>
  <c r="Y82" i="6" s="1"/>
  <c r="X83" i="6"/>
  <c r="Y83" i="6" s="1"/>
  <c r="X84" i="6"/>
  <c r="Y84" i="6" s="1"/>
  <c r="AB84" i="6" s="1"/>
  <c r="X85" i="6"/>
  <c r="Y85" i="6" s="1"/>
  <c r="X86" i="6"/>
  <c r="Y86" i="6" s="1"/>
  <c r="X87" i="6"/>
  <c r="Y87" i="6" s="1"/>
  <c r="X88" i="6"/>
  <c r="Y88" i="6" s="1"/>
  <c r="X89" i="6"/>
  <c r="Y89" i="6" s="1"/>
  <c r="X90" i="6"/>
  <c r="Y90" i="6" s="1"/>
  <c r="X91" i="6"/>
  <c r="Y91" i="6" s="1"/>
  <c r="X92" i="6"/>
  <c r="Y92" i="6" s="1"/>
  <c r="X93" i="6"/>
  <c r="Y93" i="6" s="1"/>
  <c r="X94" i="6"/>
  <c r="Y94" i="6" s="1"/>
  <c r="X95" i="6"/>
  <c r="Y95" i="6" s="1"/>
  <c r="X96" i="6"/>
  <c r="Y96" i="6" s="1"/>
  <c r="X97" i="6"/>
  <c r="Y97" i="6" s="1"/>
  <c r="X98" i="6"/>
  <c r="Y98" i="6" s="1"/>
  <c r="X99" i="6"/>
  <c r="Y99" i="6" s="1"/>
  <c r="X100" i="6"/>
  <c r="Y100" i="6" s="1"/>
  <c r="X101" i="6"/>
  <c r="Y101" i="6" s="1"/>
  <c r="X102" i="6"/>
  <c r="Y102" i="6" s="1"/>
  <c r="X103" i="6"/>
  <c r="Y103" i="6" s="1"/>
  <c r="X104" i="6"/>
  <c r="Y104" i="6" s="1"/>
  <c r="X105" i="6"/>
  <c r="Y105" i="6" s="1"/>
  <c r="X106" i="6"/>
  <c r="Y106" i="6" s="1"/>
  <c r="X107" i="6"/>
  <c r="Y107" i="6" s="1"/>
  <c r="X108" i="6"/>
  <c r="Y108" i="6" s="1"/>
  <c r="X109" i="6"/>
  <c r="Y109" i="6" s="1"/>
  <c r="AB109" i="6" s="1"/>
  <c r="X110" i="6"/>
  <c r="Y110" i="6" s="1"/>
  <c r="X111" i="6"/>
  <c r="Y111" i="6" s="1"/>
  <c r="X112" i="6"/>
  <c r="Y112" i="6" s="1"/>
  <c r="X113" i="6"/>
  <c r="Y113" i="6" s="1"/>
  <c r="X114" i="6"/>
  <c r="Y114" i="6" s="1"/>
  <c r="X115" i="6"/>
  <c r="Y115" i="6" s="1"/>
  <c r="X116" i="6"/>
  <c r="Y116" i="6" s="1"/>
  <c r="AB116" i="6" s="1"/>
  <c r="X117" i="6"/>
  <c r="Y117" i="6" s="1"/>
  <c r="X118" i="6"/>
  <c r="Y118" i="6" s="1"/>
  <c r="X119" i="6"/>
  <c r="Y119" i="6" s="1"/>
  <c r="AB119" i="6" s="1"/>
  <c r="X120" i="6"/>
  <c r="Y120" i="6" s="1"/>
  <c r="X121" i="6"/>
  <c r="Y121" i="6" s="1"/>
  <c r="AB121" i="6" s="1"/>
  <c r="X122" i="6"/>
  <c r="Y122" i="6" s="1"/>
  <c r="X123" i="6"/>
  <c r="Y123" i="6" s="1"/>
  <c r="X124" i="6"/>
  <c r="Y124" i="6" s="1"/>
  <c r="X125" i="6"/>
  <c r="Y125" i="6" s="1"/>
  <c r="X126" i="6"/>
  <c r="Y126" i="6" s="1"/>
  <c r="X127" i="6"/>
  <c r="Y127" i="6" s="1"/>
  <c r="X128" i="6"/>
  <c r="Y128" i="6" s="1"/>
  <c r="X129" i="6"/>
  <c r="Y129" i="6" s="1"/>
  <c r="X130" i="6"/>
  <c r="Y130" i="6" s="1"/>
  <c r="AB130" i="6" s="1"/>
  <c r="X131" i="6"/>
  <c r="Y131" i="6" s="1"/>
  <c r="X132" i="6"/>
  <c r="Y132" i="6" s="1"/>
  <c r="AB132" i="6" s="1"/>
  <c r="X133" i="6"/>
  <c r="Y133" i="6" s="1"/>
  <c r="X134" i="6"/>
  <c r="Y134" i="6" s="1"/>
  <c r="X135" i="6"/>
  <c r="Y135" i="6" s="1"/>
  <c r="X136" i="6"/>
  <c r="Y136" i="6" s="1"/>
  <c r="X137" i="6"/>
  <c r="Y137" i="6" s="1"/>
  <c r="AB137" i="6" s="1"/>
  <c r="X138" i="6"/>
  <c r="Y138" i="6" s="1"/>
  <c r="X139" i="6"/>
  <c r="Y139" i="6" s="1"/>
  <c r="X140" i="6"/>
  <c r="Y140" i="6" s="1"/>
  <c r="X141" i="6"/>
  <c r="Y141" i="6" s="1"/>
  <c r="X142" i="6"/>
  <c r="Y142" i="6" s="1"/>
  <c r="X143" i="6"/>
  <c r="Y143" i="6" s="1"/>
  <c r="X144" i="6"/>
  <c r="Y144" i="6" s="1"/>
  <c r="X145" i="6"/>
  <c r="Y145" i="6" s="1"/>
  <c r="X146" i="6"/>
  <c r="Y146" i="6" s="1"/>
  <c r="X147" i="6"/>
  <c r="Y147" i="6" s="1"/>
  <c r="X148" i="6"/>
  <c r="Y148" i="6" s="1"/>
  <c r="X149" i="6"/>
  <c r="Y149" i="6" s="1"/>
  <c r="X150" i="6"/>
  <c r="Y150" i="6" s="1"/>
  <c r="X151" i="6"/>
  <c r="Y151" i="6" s="1"/>
  <c r="X152" i="6"/>
  <c r="Y152" i="6" s="1"/>
  <c r="X153" i="6"/>
  <c r="Y153" i="6" s="1"/>
  <c r="X154" i="6"/>
  <c r="Y154" i="6" s="1"/>
  <c r="X155" i="6"/>
  <c r="Y155" i="6" s="1"/>
  <c r="X156" i="6"/>
  <c r="Y156" i="6" s="1"/>
  <c r="X157" i="6"/>
  <c r="Y157" i="6" s="1"/>
  <c r="X158" i="6"/>
  <c r="Y158" i="6" s="1"/>
  <c r="AB158" i="6" s="1"/>
  <c r="X159" i="6"/>
  <c r="Y159" i="6" s="1"/>
  <c r="X160" i="6"/>
  <c r="Y160" i="6" s="1"/>
  <c r="X161" i="6"/>
  <c r="Y161" i="6" s="1"/>
  <c r="X162" i="6"/>
  <c r="Y162" i="6" s="1"/>
  <c r="X163" i="6"/>
  <c r="Y163" i="6" s="1"/>
  <c r="X164" i="6"/>
  <c r="Y164" i="6" s="1"/>
  <c r="X165" i="6"/>
  <c r="Y165" i="6" s="1"/>
  <c r="X166" i="6"/>
  <c r="Y166" i="6" s="1"/>
  <c r="X167" i="6"/>
  <c r="Y167" i="6" s="1"/>
  <c r="X168" i="6"/>
  <c r="Y168" i="6" s="1"/>
  <c r="X169" i="6"/>
  <c r="Y169" i="6" s="1"/>
  <c r="AB169" i="6" s="1"/>
  <c r="X170" i="6"/>
  <c r="Y170" i="6" s="1"/>
  <c r="X171" i="6"/>
  <c r="Y171" i="6" s="1"/>
  <c r="X172" i="6"/>
  <c r="Y172" i="6" s="1"/>
  <c r="X173" i="6"/>
  <c r="Y173" i="6" s="1"/>
  <c r="X174" i="6"/>
  <c r="Y174" i="6" s="1"/>
  <c r="X175" i="6"/>
  <c r="Y175" i="6" s="1"/>
  <c r="X176" i="6"/>
  <c r="Y176" i="6" s="1"/>
  <c r="X177" i="6"/>
  <c r="Y177" i="6" s="1"/>
  <c r="X178" i="6"/>
  <c r="Y178" i="6" s="1"/>
  <c r="X179" i="6"/>
  <c r="Y179" i="6" s="1"/>
  <c r="X180" i="6"/>
  <c r="Y180" i="6" s="1"/>
  <c r="X181" i="6"/>
  <c r="Y181" i="6" s="1"/>
  <c r="X182" i="6"/>
  <c r="Y182" i="6" s="1"/>
  <c r="X183" i="6"/>
  <c r="Y183" i="6" s="1"/>
  <c r="X184" i="6"/>
  <c r="Y184" i="6" s="1"/>
  <c r="X185" i="6"/>
  <c r="Y185" i="6" s="1"/>
  <c r="X186" i="6"/>
  <c r="Y186" i="6" s="1"/>
  <c r="X187" i="6"/>
  <c r="Y187" i="6" s="1"/>
  <c r="AB187" i="6" s="1"/>
  <c r="X188" i="6"/>
  <c r="Y188" i="6" s="1"/>
  <c r="X189" i="6"/>
  <c r="Y189" i="6" s="1"/>
  <c r="X190" i="6"/>
  <c r="Y190" i="6" s="1"/>
  <c r="AB190" i="6" s="1"/>
  <c r="X191" i="6"/>
  <c r="Y191" i="6" s="1"/>
  <c r="X192" i="6"/>
  <c r="Y192" i="6" s="1"/>
  <c r="X193" i="6"/>
  <c r="Y193" i="6" s="1"/>
  <c r="X194" i="6"/>
  <c r="Y194" i="6" s="1"/>
  <c r="X195" i="6"/>
  <c r="Y195" i="6" s="1"/>
  <c r="X196" i="6"/>
  <c r="Y196" i="6" s="1"/>
  <c r="X197" i="6"/>
  <c r="Y197" i="6" s="1"/>
  <c r="X198" i="6"/>
  <c r="Y198" i="6" s="1"/>
  <c r="X199" i="6"/>
  <c r="Y199" i="6" s="1"/>
  <c r="AB199" i="6" s="1"/>
  <c r="X200" i="6"/>
  <c r="Y200" i="6" s="1"/>
  <c r="X201" i="6"/>
  <c r="Y201" i="6" s="1"/>
  <c r="X202" i="6"/>
  <c r="Y202" i="6" s="1"/>
  <c r="X203" i="6"/>
  <c r="Y203" i="6" s="1"/>
  <c r="X204" i="6"/>
  <c r="Y204" i="6" s="1"/>
  <c r="X205" i="6"/>
  <c r="Y205" i="6" s="1"/>
  <c r="X206" i="6"/>
  <c r="Y206" i="6" s="1"/>
  <c r="X207" i="6"/>
  <c r="Y207" i="6" s="1"/>
  <c r="X208" i="6"/>
  <c r="Y208" i="6" s="1"/>
  <c r="X209" i="6"/>
  <c r="Y209" i="6" s="1"/>
  <c r="X210" i="6"/>
  <c r="Y210" i="6" s="1"/>
  <c r="X211" i="6"/>
  <c r="Y211" i="6" s="1"/>
  <c r="X212" i="6"/>
  <c r="Y212" i="6" s="1"/>
  <c r="X213" i="6"/>
  <c r="Y213" i="6" s="1"/>
  <c r="X214" i="6"/>
  <c r="Y214" i="6" s="1"/>
  <c r="X215" i="6"/>
  <c r="Y215" i="6" s="1"/>
  <c r="X216" i="6"/>
  <c r="Y216" i="6" s="1"/>
  <c r="X217" i="6"/>
  <c r="Y217" i="6" s="1"/>
  <c r="X218" i="6"/>
  <c r="Y218" i="6" s="1"/>
  <c r="AB218" i="6" s="1"/>
  <c r="X219" i="6"/>
  <c r="Y219" i="6" s="1"/>
  <c r="X220" i="6"/>
  <c r="Y220" i="6" s="1"/>
  <c r="X221" i="6"/>
  <c r="Y221" i="6" s="1"/>
  <c r="X222" i="6"/>
  <c r="Y222" i="6" s="1"/>
  <c r="X223" i="6"/>
  <c r="Y223" i="6" s="1"/>
  <c r="X224" i="6"/>
  <c r="Y224" i="6" s="1"/>
  <c r="X225" i="6"/>
  <c r="Y225" i="6" s="1"/>
  <c r="X226" i="6"/>
  <c r="Y226" i="6" s="1"/>
  <c r="X227" i="6"/>
  <c r="Y227" i="6" s="1"/>
  <c r="X228" i="6"/>
  <c r="Y228" i="6" s="1"/>
  <c r="X229" i="6"/>
  <c r="Y229" i="6" s="1"/>
  <c r="AB229" i="6" s="1"/>
  <c r="X230" i="6"/>
  <c r="Y230" i="6" s="1"/>
  <c r="X231" i="6"/>
  <c r="Y231" i="6" s="1"/>
  <c r="X232" i="6"/>
  <c r="Y232" i="6" s="1"/>
  <c r="X233" i="6"/>
  <c r="Y233" i="6" s="1"/>
  <c r="X234" i="6"/>
  <c r="Y234" i="6" s="1"/>
  <c r="X235" i="6"/>
  <c r="Y235" i="6" s="1"/>
  <c r="AB235" i="6" s="1"/>
  <c r="X236" i="6"/>
  <c r="Y236" i="6" s="1"/>
  <c r="X237" i="6"/>
  <c r="Y237" i="6" s="1"/>
  <c r="X238" i="6"/>
  <c r="Y238" i="6" s="1"/>
  <c r="X239" i="6"/>
  <c r="Y239" i="6" s="1"/>
  <c r="X240" i="6"/>
  <c r="Y240" i="6" s="1"/>
  <c r="X241" i="6"/>
  <c r="Y241" i="6" s="1"/>
  <c r="X242" i="6"/>
  <c r="Y242" i="6" s="1"/>
  <c r="X243" i="6"/>
  <c r="Y243" i="6" s="1"/>
  <c r="X244" i="6"/>
  <c r="Y244" i="6" s="1"/>
  <c r="X245" i="6"/>
  <c r="Y245" i="6" s="1"/>
  <c r="X246" i="6"/>
  <c r="Y246" i="6" s="1"/>
  <c r="X247" i="6"/>
  <c r="Y247" i="6" s="1"/>
  <c r="X248" i="6"/>
  <c r="Y248" i="6" s="1"/>
  <c r="X249" i="6"/>
  <c r="Y249" i="6" s="1"/>
  <c r="AB249" i="6" s="1"/>
  <c r="X250" i="6"/>
  <c r="Y250" i="6" s="1"/>
  <c r="X251" i="6"/>
  <c r="Y251" i="6" s="1"/>
  <c r="X252" i="6"/>
  <c r="Y252" i="6" s="1"/>
  <c r="X253" i="6"/>
  <c r="Y253" i="6" s="1"/>
  <c r="AB253" i="6" s="1"/>
  <c r="X254" i="6"/>
  <c r="Y254" i="6" s="1"/>
  <c r="X255" i="6"/>
  <c r="Y255" i="6" s="1"/>
  <c r="X256" i="6"/>
  <c r="Y256" i="6" s="1"/>
  <c r="X257" i="6"/>
  <c r="Y257" i="6" s="1"/>
  <c r="X258" i="6"/>
  <c r="Y258" i="6" s="1"/>
  <c r="X259" i="6"/>
  <c r="Y259" i="6" s="1"/>
  <c r="AB259" i="6" s="1"/>
  <c r="X260" i="6"/>
  <c r="Y260" i="6" s="1"/>
  <c r="X261" i="6"/>
  <c r="Y261" i="6" s="1"/>
  <c r="X262" i="6"/>
  <c r="Y262" i="6" s="1"/>
  <c r="X263" i="6"/>
  <c r="Y263" i="6" s="1"/>
  <c r="X264" i="6"/>
  <c r="Y264" i="6" s="1"/>
  <c r="X265" i="6"/>
  <c r="Y265" i="6" s="1"/>
  <c r="AB265" i="6" s="1"/>
  <c r="X266" i="6"/>
  <c r="Y266" i="6" s="1"/>
  <c r="X267" i="6"/>
  <c r="Y267" i="6" s="1"/>
  <c r="X268" i="6"/>
  <c r="Y268" i="6" s="1"/>
  <c r="X269" i="6"/>
  <c r="Y269" i="6" s="1"/>
  <c r="X270" i="6"/>
  <c r="Y270" i="6" s="1"/>
  <c r="AB270" i="6" s="1"/>
  <c r="X271" i="6"/>
  <c r="Y271" i="6" s="1"/>
  <c r="X272" i="6"/>
  <c r="Y272" i="6" s="1"/>
  <c r="X273" i="6"/>
  <c r="Y273" i="6" s="1"/>
  <c r="X274" i="6"/>
  <c r="Y274" i="6" s="1"/>
  <c r="X275" i="6"/>
  <c r="Y275" i="6" s="1"/>
  <c r="AB275" i="6" s="1"/>
  <c r="X276" i="6"/>
  <c r="Y276" i="6" s="1"/>
  <c r="X277" i="6"/>
  <c r="Y277" i="6" s="1"/>
  <c r="X278" i="6"/>
  <c r="Y278" i="6" s="1"/>
  <c r="AB278" i="6" s="1"/>
  <c r="X279" i="6"/>
  <c r="Y279" i="6" s="1"/>
  <c r="X280" i="6"/>
  <c r="Y280" i="6" s="1"/>
  <c r="X281" i="6"/>
  <c r="Y281" i="6" s="1"/>
  <c r="X282" i="6"/>
  <c r="Y282" i="6" s="1"/>
  <c r="X283" i="6"/>
  <c r="Y283" i="6" s="1"/>
  <c r="X284" i="6"/>
  <c r="Y284" i="6" s="1"/>
  <c r="X285" i="6"/>
  <c r="Y285" i="6" s="1"/>
  <c r="X286" i="6"/>
  <c r="Y286" i="6" s="1"/>
  <c r="AB286" i="6" s="1"/>
  <c r="X287" i="6"/>
  <c r="Y287" i="6" s="1"/>
  <c r="X288" i="6"/>
  <c r="Y288" i="6" s="1"/>
  <c r="X289" i="6"/>
  <c r="Y289" i="6" s="1"/>
  <c r="X290" i="6"/>
  <c r="Y290" i="6" s="1"/>
  <c r="X291" i="6"/>
  <c r="Y291" i="6" s="1"/>
  <c r="X292" i="6"/>
  <c r="Y292" i="6" s="1"/>
  <c r="X293" i="6"/>
  <c r="Y293" i="6" s="1"/>
  <c r="AB293" i="6" s="1"/>
  <c r="X294" i="6"/>
  <c r="Y294" i="6" s="1"/>
  <c r="X295" i="6"/>
  <c r="Y295" i="6" s="1"/>
  <c r="X296" i="6"/>
  <c r="Y296" i="6" s="1"/>
  <c r="X297" i="6"/>
  <c r="Y297" i="6" s="1"/>
  <c r="X298" i="6"/>
  <c r="Y298" i="6" s="1"/>
  <c r="X299" i="6"/>
  <c r="Y299" i="6" s="1"/>
  <c r="X300" i="6"/>
  <c r="Y300" i="6" s="1"/>
  <c r="X301" i="6"/>
  <c r="Y301" i="6" s="1"/>
  <c r="X302" i="6"/>
  <c r="Y302" i="6" s="1"/>
  <c r="X303" i="6"/>
  <c r="Y303" i="6" s="1"/>
  <c r="X304" i="6"/>
  <c r="Y304" i="6" s="1"/>
  <c r="AB304" i="6" s="1"/>
  <c r="X305" i="6"/>
  <c r="Y305" i="6" s="1"/>
  <c r="X306" i="6"/>
  <c r="Y306" i="6" s="1"/>
  <c r="X307" i="6"/>
  <c r="Y307" i="6" s="1"/>
  <c r="AB307" i="6" s="1"/>
  <c r="X308" i="6"/>
  <c r="Y308" i="6" s="1"/>
  <c r="X309" i="6"/>
  <c r="Y309" i="6" s="1"/>
  <c r="X310" i="6"/>
  <c r="Y310" i="6" s="1"/>
  <c r="X311" i="6"/>
  <c r="Y311" i="6" s="1"/>
  <c r="X312" i="6"/>
  <c r="Y312" i="6" s="1"/>
  <c r="AB312" i="6" s="1"/>
  <c r="X313" i="6"/>
  <c r="Y313" i="6" s="1"/>
  <c r="AB313" i="6" s="1"/>
  <c r="X314" i="6"/>
  <c r="Y314" i="6" s="1"/>
  <c r="X315" i="6"/>
  <c r="Y315" i="6" s="1"/>
  <c r="X316" i="6"/>
  <c r="Y316" i="6" s="1"/>
  <c r="X317" i="6"/>
  <c r="Y317" i="6" s="1"/>
  <c r="X318" i="6"/>
  <c r="Y318" i="6" s="1"/>
  <c r="X319" i="6"/>
  <c r="Y319" i="6" s="1"/>
  <c r="X320" i="6"/>
  <c r="Y320" i="6" s="1"/>
  <c r="X321" i="6"/>
  <c r="Y321" i="6" s="1"/>
  <c r="X322" i="6"/>
  <c r="Y322" i="6" s="1"/>
  <c r="X323" i="6"/>
  <c r="Y323" i="6" s="1"/>
  <c r="X324" i="6"/>
  <c r="Y324" i="6" s="1"/>
  <c r="X325" i="6"/>
  <c r="Y325" i="6" s="1"/>
  <c r="X326" i="6"/>
  <c r="Y326" i="6" s="1"/>
  <c r="X327" i="6"/>
  <c r="Y327" i="6" s="1"/>
  <c r="X328" i="6"/>
  <c r="Y328" i="6" s="1"/>
  <c r="X329" i="6"/>
  <c r="Y329" i="6" s="1"/>
  <c r="AB329" i="6" s="1"/>
  <c r="X330" i="6"/>
  <c r="Y330" i="6" s="1"/>
  <c r="X331" i="6"/>
  <c r="Y331" i="6" s="1"/>
  <c r="X332" i="6"/>
  <c r="Y332" i="6" s="1"/>
  <c r="X333" i="6"/>
  <c r="Y333" i="6" s="1"/>
  <c r="AB333" i="6" s="1"/>
  <c r="X334" i="6"/>
  <c r="Y334" i="6" s="1"/>
  <c r="X335" i="6"/>
  <c r="Y335" i="6" s="1"/>
  <c r="X336" i="6"/>
  <c r="Y336" i="6" s="1"/>
  <c r="X337" i="6"/>
  <c r="Y337" i="6" s="1"/>
  <c r="X338" i="6"/>
  <c r="Y338" i="6" s="1"/>
  <c r="X339" i="6"/>
  <c r="Y339" i="6" s="1"/>
  <c r="X340" i="6"/>
  <c r="Y340" i="6" s="1"/>
  <c r="X341" i="6"/>
  <c r="Y341" i="6" s="1"/>
  <c r="X342" i="6"/>
  <c r="Y342" i="6" s="1"/>
  <c r="X343" i="6"/>
  <c r="Y343" i="6" s="1"/>
  <c r="X344" i="6"/>
  <c r="Y344" i="6" s="1"/>
  <c r="X345" i="6"/>
  <c r="Y345" i="6" s="1"/>
  <c r="AB345" i="6" s="1"/>
  <c r="X346" i="6"/>
  <c r="Y346" i="6" s="1"/>
  <c r="AB346" i="6" s="1"/>
  <c r="X347" i="6"/>
  <c r="Y347" i="6" s="1"/>
  <c r="X348" i="6"/>
  <c r="Y348" i="6" s="1"/>
  <c r="X349" i="6"/>
  <c r="Y349" i="6" s="1"/>
  <c r="AB349" i="6" s="1"/>
  <c r="X350" i="6"/>
  <c r="Y350" i="6" s="1"/>
  <c r="AB350" i="6" s="1"/>
  <c r="X351" i="6"/>
  <c r="Y351" i="6" s="1"/>
  <c r="X352" i="6"/>
  <c r="Y352" i="6" s="1"/>
  <c r="X353" i="6"/>
  <c r="Y353" i="6" s="1"/>
  <c r="X354" i="6"/>
  <c r="Y354" i="6" s="1"/>
  <c r="X355" i="6"/>
  <c r="Y355" i="6" s="1"/>
  <c r="X356" i="6"/>
  <c r="Y356" i="6" s="1"/>
  <c r="AB356" i="6" s="1"/>
  <c r="X357" i="6"/>
  <c r="Y357" i="6" s="1"/>
  <c r="X358" i="6"/>
  <c r="Y358" i="6" s="1"/>
  <c r="X359" i="6"/>
  <c r="Y359" i="6" s="1"/>
  <c r="X360" i="6"/>
  <c r="Y360" i="6" s="1"/>
  <c r="X361" i="6"/>
  <c r="Y361" i="6" s="1"/>
  <c r="AB361" i="6" s="1"/>
  <c r="X362" i="6"/>
  <c r="Y362" i="6" s="1"/>
  <c r="X363" i="6"/>
  <c r="Y363" i="6" s="1"/>
  <c r="X364" i="6"/>
  <c r="Y364" i="6" s="1"/>
  <c r="X365" i="6"/>
  <c r="Y365" i="6" s="1"/>
  <c r="X366" i="6"/>
  <c r="Y366" i="6" s="1"/>
  <c r="AB366" i="6" s="1"/>
  <c r="X367" i="6"/>
  <c r="Y367" i="6" s="1"/>
  <c r="X368" i="6"/>
  <c r="Y368" i="6" s="1"/>
  <c r="X369" i="6"/>
  <c r="Y369" i="6" s="1"/>
  <c r="X370" i="6"/>
  <c r="Y370" i="6" s="1"/>
  <c r="X371" i="6"/>
  <c r="Y371" i="6" s="1"/>
  <c r="X372" i="6"/>
  <c r="Y372" i="6" s="1"/>
  <c r="AB372" i="6" s="1"/>
  <c r="X373" i="6"/>
  <c r="Y373" i="6" s="1"/>
  <c r="X374" i="6"/>
  <c r="Y374" i="6" s="1"/>
  <c r="X375" i="6"/>
  <c r="Y375" i="6" s="1"/>
  <c r="X376" i="6"/>
  <c r="Y376" i="6" s="1"/>
  <c r="X377" i="6"/>
  <c r="Y377" i="6" s="1"/>
  <c r="X378" i="6"/>
  <c r="Y378" i="6" s="1"/>
  <c r="X379" i="6"/>
  <c r="Y379" i="6" s="1"/>
  <c r="X380" i="6"/>
  <c r="Y380" i="6" s="1"/>
  <c r="X381" i="6"/>
  <c r="Y381" i="6" s="1"/>
  <c r="X382" i="6"/>
  <c r="Y382" i="6" s="1"/>
  <c r="X383" i="6"/>
  <c r="Y383" i="6" s="1"/>
  <c r="X384" i="6"/>
  <c r="Y384" i="6" s="1"/>
  <c r="X385" i="6"/>
  <c r="Y385" i="6" s="1"/>
  <c r="X386" i="6"/>
  <c r="Y386" i="6" s="1"/>
  <c r="AB386" i="6" s="1"/>
  <c r="X387" i="6"/>
  <c r="Y387" i="6" s="1"/>
  <c r="X388" i="6"/>
  <c r="Y388" i="6" s="1"/>
  <c r="AB388" i="6" s="1"/>
  <c r="X389" i="6"/>
  <c r="Y389" i="6" s="1"/>
  <c r="X390" i="6"/>
  <c r="Y390" i="6" s="1"/>
  <c r="X391" i="6"/>
  <c r="Y391" i="6" s="1"/>
  <c r="X392" i="6"/>
  <c r="Y392" i="6" s="1"/>
  <c r="X393" i="6"/>
  <c r="Y393" i="6" s="1"/>
  <c r="X394" i="6"/>
  <c r="Y394" i="6" s="1"/>
  <c r="X395" i="6"/>
  <c r="Y395" i="6" s="1"/>
  <c r="X396" i="6"/>
  <c r="Y396" i="6" s="1"/>
  <c r="X397" i="6"/>
  <c r="Y397" i="6" s="1"/>
  <c r="X398" i="6"/>
  <c r="Y398" i="6" s="1"/>
  <c r="AB398" i="6" s="1"/>
  <c r="X399" i="6"/>
  <c r="Y399" i="6" s="1"/>
  <c r="X400" i="6"/>
  <c r="Y400" i="6" s="1"/>
  <c r="X401" i="6"/>
  <c r="Y401" i="6" s="1"/>
  <c r="X402" i="6"/>
  <c r="Y402" i="6" s="1"/>
  <c r="X403" i="6"/>
  <c r="Y403" i="6" s="1"/>
  <c r="X404" i="6"/>
  <c r="Y404" i="6" s="1"/>
  <c r="X405" i="6"/>
  <c r="Y405" i="6" s="1"/>
  <c r="X406" i="6"/>
  <c r="Y406" i="6" s="1"/>
  <c r="X407" i="6"/>
  <c r="Y407" i="6" s="1"/>
  <c r="X408" i="6"/>
  <c r="Y408" i="6" s="1"/>
  <c r="X409" i="6"/>
  <c r="Y409" i="6" s="1"/>
  <c r="X410" i="6"/>
  <c r="Y410" i="6" s="1"/>
  <c r="X411" i="6"/>
  <c r="Y411" i="6" s="1"/>
  <c r="X412" i="6"/>
  <c r="Y412" i="6" s="1"/>
  <c r="X413" i="6"/>
  <c r="Y413" i="6" s="1"/>
  <c r="X414" i="6"/>
  <c r="Y414" i="6" s="1"/>
  <c r="X415" i="6"/>
  <c r="Y415" i="6" s="1"/>
  <c r="X416" i="6"/>
  <c r="Y416" i="6" s="1"/>
  <c r="X417" i="6"/>
  <c r="Y417" i="6" s="1"/>
  <c r="X418" i="6"/>
  <c r="Y418" i="6" s="1"/>
  <c r="X419" i="6"/>
  <c r="Y419" i="6" s="1"/>
  <c r="X420" i="6"/>
  <c r="Y420" i="6" s="1"/>
  <c r="X421" i="6"/>
  <c r="Y421" i="6" s="1"/>
  <c r="X422" i="6"/>
  <c r="Y422" i="6" s="1"/>
  <c r="AB422" i="6" s="1"/>
  <c r="X423" i="6"/>
  <c r="Y423" i="6" s="1"/>
  <c r="X424" i="6"/>
  <c r="Y424" i="6" s="1"/>
  <c r="AB424" i="6" s="1"/>
  <c r="X425" i="6"/>
  <c r="Y425" i="6" s="1"/>
  <c r="X426" i="6"/>
  <c r="Y426" i="6" s="1"/>
  <c r="X427" i="6"/>
  <c r="Y427" i="6" s="1"/>
  <c r="X428" i="6"/>
  <c r="Y428" i="6" s="1"/>
  <c r="X429" i="6"/>
  <c r="Y429" i="6" s="1"/>
  <c r="X430" i="6"/>
  <c r="Y430" i="6" s="1"/>
  <c r="X431" i="6"/>
  <c r="Y431" i="6" s="1"/>
  <c r="X432" i="6"/>
  <c r="Y432" i="6" s="1"/>
  <c r="X433" i="6"/>
  <c r="Y433" i="6" s="1"/>
  <c r="X434" i="6"/>
  <c r="Y434" i="6" s="1"/>
  <c r="X2" i="6"/>
  <c r="Y2" i="6" s="1"/>
  <c r="Q3" i="6"/>
  <c r="W3" i="6" s="1"/>
  <c r="Q4" i="6"/>
  <c r="W4" i="6" s="1"/>
  <c r="Q5" i="6"/>
  <c r="W5" i="6" s="1"/>
  <c r="Q6" i="6"/>
  <c r="W6" i="6" s="1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W21" i="6" s="1"/>
  <c r="Q22" i="6"/>
  <c r="W22" i="6" s="1"/>
  <c r="Q23" i="6"/>
  <c r="Q24" i="6"/>
  <c r="Q25" i="6"/>
  <c r="Q26" i="6"/>
  <c r="Q27" i="6"/>
  <c r="Q28" i="6"/>
  <c r="Q29" i="6"/>
  <c r="Q30" i="6"/>
  <c r="Q31" i="6"/>
  <c r="Q32" i="6"/>
  <c r="Q33" i="6"/>
  <c r="W33" i="6" s="1"/>
  <c r="Q34" i="6"/>
  <c r="W34" i="6" s="1"/>
  <c r="Q35" i="6"/>
  <c r="Q36" i="6"/>
  <c r="Q37" i="6"/>
  <c r="W37" i="6" s="1"/>
  <c r="Q38" i="6"/>
  <c r="W38" i="6" s="1"/>
  <c r="Q39" i="6"/>
  <c r="Q40" i="6"/>
  <c r="Q41" i="6"/>
  <c r="Q42" i="6"/>
  <c r="Q43" i="6"/>
  <c r="Q44" i="6"/>
  <c r="Q45" i="6"/>
  <c r="Q46" i="6"/>
  <c r="Q47" i="6"/>
  <c r="Q48" i="6"/>
  <c r="W48" i="6" s="1"/>
  <c r="Q49" i="6"/>
  <c r="W49" i="6" s="1"/>
  <c r="Q50" i="6"/>
  <c r="Q51" i="6"/>
  <c r="W51" i="6" s="1"/>
  <c r="Q52" i="6"/>
  <c r="W52" i="6" s="1"/>
  <c r="Q53" i="6"/>
  <c r="W53" i="6" s="1"/>
  <c r="Q54" i="6"/>
  <c r="W54" i="6" s="1"/>
  <c r="Q55" i="6"/>
  <c r="Q56" i="6"/>
  <c r="Q57" i="6"/>
  <c r="Q58" i="6"/>
  <c r="Q59" i="6"/>
  <c r="Q60" i="6"/>
  <c r="Q61" i="6"/>
  <c r="Q62" i="6"/>
  <c r="Q63" i="6"/>
  <c r="Q64" i="6"/>
  <c r="W64" i="6" s="1"/>
  <c r="Q65" i="6"/>
  <c r="W65" i="6" s="1"/>
  <c r="Q66" i="6"/>
  <c r="W66" i="6" s="1"/>
  <c r="Q67" i="6"/>
  <c r="Q68" i="6"/>
  <c r="Q69" i="6"/>
  <c r="W69" i="6" s="1"/>
  <c r="Q70" i="6"/>
  <c r="W70" i="6" s="1"/>
  <c r="Q71" i="6"/>
  <c r="Q72" i="6"/>
  <c r="Q73" i="6"/>
  <c r="Q74" i="6"/>
  <c r="Q75" i="6"/>
  <c r="Q76" i="6"/>
  <c r="Q77" i="6"/>
  <c r="Q78" i="6"/>
  <c r="Q79" i="6"/>
  <c r="Q80" i="6"/>
  <c r="Q81" i="6"/>
  <c r="Q82" i="6"/>
  <c r="W82" i="6" s="1"/>
  <c r="Q83" i="6"/>
  <c r="W83" i="6" s="1"/>
  <c r="Q84" i="6"/>
  <c r="W84" i="6" s="1"/>
  <c r="Q85" i="6"/>
  <c r="W85" i="6" s="1"/>
  <c r="Q86" i="6"/>
  <c r="W86" i="6" s="1"/>
  <c r="Q87" i="6"/>
  <c r="Q88" i="6"/>
  <c r="Q89" i="6"/>
  <c r="Q90" i="6"/>
  <c r="Q91" i="6"/>
  <c r="Q92" i="6"/>
  <c r="Q93" i="6"/>
  <c r="Q94" i="6"/>
  <c r="Q95" i="6"/>
  <c r="W95" i="6" s="1"/>
  <c r="Q96" i="6"/>
  <c r="W96" i="6" s="1"/>
  <c r="Q97" i="6"/>
  <c r="W97" i="6" s="1"/>
  <c r="Q98" i="6"/>
  <c r="W98" i="6" s="1"/>
  <c r="Q99" i="6"/>
  <c r="W99" i="6" s="1"/>
  <c r="Q100" i="6"/>
  <c r="Q101" i="6"/>
  <c r="W101" i="6" s="1"/>
  <c r="Q102" i="6"/>
  <c r="W102" i="6" s="1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W117" i="6" s="1"/>
  <c r="Q118" i="6"/>
  <c r="W118" i="6" s="1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W131" i="6" s="1"/>
  <c r="Q132" i="6"/>
  <c r="W132" i="6" s="1"/>
  <c r="Q133" i="6"/>
  <c r="W133" i="6" s="1"/>
  <c r="Q134" i="6"/>
  <c r="W134" i="6" s="1"/>
  <c r="Q135" i="6"/>
  <c r="Q136" i="6"/>
  <c r="Q137" i="6"/>
  <c r="Q138" i="6"/>
  <c r="Q139" i="6"/>
  <c r="Q140" i="6"/>
  <c r="Q141" i="6"/>
  <c r="Q142" i="6"/>
  <c r="Q143" i="6"/>
  <c r="W143" i="6" s="1"/>
  <c r="Q144" i="6"/>
  <c r="W144" i="6" s="1"/>
  <c r="Q145" i="6"/>
  <c r="Q146" i="6"/>
  <c r="W146" i="6" s="1"/>
  <c r="Q147" i="6"/>
  <c r="Q148" i="6"/>
  <c r="Q149" i="6"/>
  <c r="W149" i="6" s="1"/>
  <c r="Q150" i="6"/>
  <c r="W150" i="6" s="1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W163" i="6" s="1"/>
  <c r="Q164" i="6"/>
  <c r="W164" i="6" s="1"/>
  <c r="Q165" i="6"/>
  <c r="W165" i="6" s="1"/>
  <c r="Q166" i="6"/>
  <c r="W166" i="6" s="1"/>
  <c r="Q167" i="6"/>
  <c r="Q168" i="6"/>
  <c r="Q169" i="6"/>
  <c r="Q170" i="6"/>
  <c r="Q171" i="6"/>
  <c r="Q172" i="6"/>
  <c r="Q173" i="6"/>
  <c r="Q174" i="6"/>
  <c r="Q175" i="6"/>
  <c r="W175" i="6" s="1"/>
  <c r="Q176" i="6"/>
  <c r="W176" i="6" s="1"/>
  <c r="Q177" i="6"/>
  <c r="W177" i="6" s="1"/>
  <c r="Q178" i="6"/>
  <c r="W178" i="6" s="1"/>
  <c r="Q179" i="6"/>
  <c r="W179" i="6" s="1"/>
  <c r="Q180" i="6"/>
  <c r="W180" i="6" s="1"/>
  <c r="Q181" i="6"/>
  <c r="W181" i="6" s="1"/>
  <c r="Q182" i="6"/>
  <c r="W182" i="6" s="1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W197" i="6" s="1"/>
  <c r="Q198" i="6"/>
  <c r="W198" i="6" s="1"/>
  <c r="Q199" i="6"/>
  <c r="Q200" i="6"/>
  <c r="Q201" i="6"/>
  <c r="Q202" i="6"/>
  <c r="Q203" i="6"/>
  <c r="Q204" i="6"/>
  <c r="Q205" i="6"/>
  <c r="Q206" i="6"/>
  <c r="Q207" i="6"/>
  <c r="W207" i="6" s="1"/>
  <c r="Q208" i="6"/>
  <c r="W208" i="6" s="1"/>
  <c r="Q209" i="6"/>
  <c r="W209" i="6" s="1"/>
  <c r="Q210" i="6"/>
  <c r="W210" i="6" s="1"/>
  <c r="Q211" i="6"/>
  <c r="W211" i="6" s="1"/>
  <c r="Q212" i="6"/>
  <c r="Q213" i="6"/>
  <c r="W213" i="6" s="1"/>
  <c r="Q214" i="6"/>
  <c r="W214" i="6" s="1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W227" i="6" s="1"/>
  <c r="Q228" i="6"/>
  <c r="W228" i="6" s="1"/>
  <c r="Q229" i="6"/>
  <c r="W229" i="6" s="1"/>
  <c r="Q230" i="6"/>
  <c r="W230" i="6" s="1"/>
  <c r="Q231" i="6"/>
  <c r="Q232" i="6"/>
  <c r="Q233" i="6"/>
  <c r="Q234" i="6"/>
  <c r="Q235" i="6"/>
  <c r="Q236" i="6"/>
  <c r="Q237" i="6"/>
  <c r="Q238" i="6"/>
  <c r="Q239" i="6"/>
  <c r="W239" i="6" s="1"/>
  <c r="Q240" i="6"/>
  <c r="W240" i="6" s="1"/>
  <c r="Q241" i="6"/>
  <c r="W241" i="6" s="1"/>
  <c r="Q242" i="6"/>
  <c r="Q243" i="6"/>
  <c r="Q244" i="6"/>
  <c r="Q245" i="6"/>
  <c r="W245" i="6" s="1"/>
  <c r="Q246" i="6"/>
  <c r="W246" i="6" s="1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W260" i="6" s="1"/>
  <c r="Q261" i="6"/>
  <c r="W261" i="6" s="1"/>
  <c r="Q262" i="6"/>
  <c r="W262" i="6" s="1"/>
  <c r="Q263" i="6"/>
  <c r="Q264" i="6"/>
  <c r="Q265" i="6"/>
  <c r="Q266" i="6"/>
  <c r="Q267" i="6"/>
  <c r="Q268" i="6"/>
  <c r="Q269" i="6"/>
  <c r="Q270" i="6"/>
  <c r="Q271" i="6"/>
  <c r="W271" i="6" s="1"/>
  <c r="Q272" i="6"/>
  <c r="Q273" i="6"/>
  <c r="Q274" i="6"/>
  <c r="Q275" i="6"/>
  <c r="Q276" i="6"/>
  <c r="Q277" i="6"/>
  <c r="W277" i="6" s="1"/>
  <c r="Q278" i="6"/>
  <c r="W278" i="6" s="1"/>
  <c r="Q279" i="6"/>
  <c r="Q280" i="6"/>
  <c r="Q281" i="6"/>
  <c r="Q282" i="6"/>
  <c r="Q283" i="6"/>
  <c r="Q284" i="6"/>
  <c r="Q285" i="6"/>
  <c r="Q286" i="6"/>
  <c r="Q287" i="6"/>
  <c r="Q288" i="6"/>
  <c r="Q289" i="6"/>
  <c r="W289" i="6" s="1"/>
  <c r="Q290" i="6"/>
  <c r="W290" i="6" s="1"/>
  <c r="Q291" i="6"/>
  <c r="W291" i="6" s="1"/>
  <c r="Q292" i="6"/>
  <c r="W292" i="6" s="1"/>
  <c r="Q293" i="6"/>
  <c r="W293" i="6" s="1"/>
  <c r="Q294" i="6"/>
  <c r="W294" i="6" s="1"/>
  <c r="Q295" i="6"/>
  <c r="Q296" i="6"/>
  <c r="Q297" i="6"/>
  <c r="Q298" i="6"/>
  <c r="Q299" i="6"/>
  <c r="Q300" i="6"/>
  <c r="Q301" i="6"/>
  <c r="Q302" i="6"/>
  <c r="Q303" i="6"/>
  <c r="W303" i="6" s="1"/>
  <c r="Q304" i="6"/>
  <c r="W304" i="6" s="1"/>
  <c r="Q305" i="6"/>
  <c r="W305" i="6" s="1"/>
  <c r="Q306" i="6"/>
  <c r="W306" i="6" s="1"/>
  <c r="Q307" i="6"/>
  <c r="W307" i="6" s="1"/>
  <c r="Q308" i="6"/>
  <c r="W308" i="6" s="1"/>
  <c r="Q309" i="6"/>
  <c r="W309" i="6" s="1"/>
  <c r="Q310" i="6"/>
  <c r="W310" i="6" s="1"/>
  <c r="Q311" i="6"/>
  <c r="Q312" i="6"/>
  <c r="Q313" i="6"/>
  <c r="Q314" i="6"/>
  <c r="Q315" i="6"/>
  <c r="Q316" i="6"/>
  <c r="Q317" i="6"/>
  <c r="Q318" i="6"/>
  <c r="Q319" i="6"/>
  <c r="W319" i="6" s="1"/>
  <c r="Q320" i="6"/>
  <c r="W320" i="6" s="1"/>
  <c r="Q321" i="6"/>
  <c r="W321" i="6" s="1"/>
  <c r="Q322" i="6"/>
  <c r="W322" i="6" s="1"/>
  <c r="Q323" i="6"/>
  <c r="Q324" i="6"/>
  <c r="Q325" i="6"/>
  <c r="W325" i="6" s="1"/>
  <c r="Q326" i="6"/>
  <c r="W326" i="6" s="1"/>
  <c r="Q327" i="6"/>
  <c r="Q328" i="6"/>
  <c r="Q329" i="6"/>
  <c r="Q330" i="6"/>
  <c r="Q331" i="6"/>
  <c r="Q332" i="6"/>
  <c r="Q333" i="6"/>
  <c r="Q334" i="6"/>
  <c r="Q335" i="6"/>
  <c r="Q336" i="6"/>
  <c r="W336" i="6" s="1"/>
  <c r="Q337" i="6"/>
  <c r="W337" i="6" s="1"/>
  <c r="Q338" i="6"/>
  <c r="Q339" i="6"/>
  <c r="Q340" i="6"/>
  <c r="W340" i="6" s="1"/>
  <c r="Q341" i="6"/>
  <c r="W341" i="6" s="1"/>
  <c r="Q342" i="6"/>
  <c r="W342" i="6" s="1"/>
  <c r="Q343" i="6"/>
  <c r="Q344" i="6"/>
  <c r="Q345" i="6"/>
  <c r="Q346" i="6"/>
  <c r="Q347" i="6"/>
  <c r="Q348" i="6"/>
  <c r="Q349" i="6"/>
  <c r="Q350" i="6"/>
  <c r="Q351" i="6"/>
  <c r="Q352" i="6"/>
  <c r="Q353" i="6"/>
  <c r="Q354" i="6"/>
  <c r="Q355" i="6"/>
  <c r="W355" i="6" s="1"/>
  <c r="Q356" i="6"/>
  <c r="W356" i="6" s="1"/>
  <c r="Q357" i="6"/>
  <c r="W357" i="6" s="1"/>
  <c r="Q358" i="6"/>
  <c r="W358" i="6" s="1"/>
  <c r="Q359" i="6"/>
  <c r="Q360" i="6"/>
  <c r="Q361" i="6"/>
  <c r="Q362" i="6"/>
  <c r="Q363" i="6"/>
  <c r="Q364" i="6"/>
  <c r="Q365" i="6"/>
  <c r="Q366" i="6"/>
  <c r="Q367" i="6"/>
  <c r="Q368" i="6"/>
  <c r="Q369" i="6"/>
  <c r="Q370" i="6"/>
  <c r="Q371" i="6"/>
  <c r="W371" i="6" s="1"/>
  <c r="Q372" i="6"/>
  <c r="W372" i="6" s="1"/>
  <c r="Q373" i="6"/>
  <c r="W373" i="6" s="1"/>
  <c r="Q374" i="6"/>
  <c r="W374" i="6" s="1"/>
  <c r="Q375" i="6"/>
  <c r="Q376" i="6"/>
  <c r="Q377" i="6"/>
  <c r="Q378" i="6"/>
  <c r="Q379" i="6"/>
  <c r="Q380" i="6"/>
  <c r="Q381" i="6"/>
  <c r="Q382" i="6"/>
  <c r="Q383" i="6"/>
  <c r="Q384" i="6"/>
  <c r="Q385" i="6"/>
  <c r="Q386" i="6"/>
  <c r="Q387" i="6"/>
  <c r="Q388" i="6"/>
  <c r="Q389" i="6"/>
  <c r="W389" i="6" s="1"/>
  <c r="Q390" i="6"/>
  <c r="W390" i="6" s="1"/>
  <c r="Q391" i="6"/>
  <c r="Q392" i="6"/>
  <c r="Q393" i="6"/>
  <c r="Q394" i="6"/>
  <c r="Q395" i="6"/>
  <c r="Q396" i="6"/>
  <c r="Q397" i="6"/>
  <c r="Q398" i="6"/>
  <c r="Q399" i="6"/>
  <c r="W399" i="6" s="1"/>
  <c r="Q400" i="6"/>
  <c r="Q401" i="6"/>
  <c r="Q402" i="6"/>
  <c r="W402" i="6" s="1"/>
  <c r="Q403" i="6"/>
  <c r="Q404" i="6"/>
  <c r="Q405" i="6"/>
  <c r="W405" i="6" s="1"/>
  <c r="Q406" i="6"/>
  <c r="W406" i="6" s="1"/>
  <c r="Q407" i="6"/>
  <c r="Q408" i="6"/>
  <c r="Q409" i="6"/>
  <c r="Q410" i="6"/>
  <c r="Q411" i="6"/>
  <c r="Q412" i="6"/>
  <c r="Q413" i="6"/>
  <c r="Q414" i="6"/>
  <c r="Q415" i="6"/>
  <c r="Q416" i="6"/>
  <c r="Q417" i="6"/>
  <c r="Q418" i="6"/>
  <c r="Q419" i="6"/>
  <c r="W419" i="6" s="1"/>
  <c r="Q420" i="6"/>
  <c r="W420" i="6" s="1"/>
  <c r="Q421" i="6"/>
  <c r="W421" i="6" s="1"/>
  <c r="Q422" i="6"/>
  <c r="W422" i="6" s="1"/>
  <c r="Q423" i="6"/>
  <c r="Q424" i="6"/>
  <c r="Q425" i="6"/>
  <c r="Q426" i="6"/>
  <c r="Q427" i="6"/>
  <c r="Q428" i="6"/>
  <c r="Q429" i="6"/>
  <c r="Q430" i="6"/>
  <c r="Q431" i="6"/>
  <c r="W431" i="6" s="1"/>
  <c r="Q432" i="6"/>
  <c r="W432" i="6" s="1"/>
  <c r="Q433" i="6"/>
  <c r="W433" i="6" s="1"/>
  <c r="Q434" i="6"/>
  <c r="W434" i="6" s="1"/>
  <c r="Q435" i="6"/>
  <c r="W435" i="6" s="1"/>
  <c r="Q2" i="6"/>
  <c r="W2" i="6" s="1"/>
  <c r="AB26" i="6" l="1"/>
  <c r="AB100" i="6"/>
  <c r="AB243" i="6"/>
  <c r="AB283" i="6"/>
  <c r="AB317" i="6"/>
  <c r="AB331" i="6"/>
  <c r="AB118" i="6"/>
  <c r="AC118" i="6" s="1"/>
  <c r="AB308" i="6"/>
  <c r="AC308" i="6" s="1"/>
  <c r="AB52" i="6"/>
  <c r="AC52" i="6" s="1"/>
  <c r="AB178" i="6"/>
  <c r="AC178" i="6" s="1"/>
  <c r="AB9" i="6"/>
  <c r="AB434" i="6"/>
  <c r="AC434" i="6" s="1"/>
  <c r="AB320" i="6"/>
  <c r="AC320" i="6" s="1"/>
  <c r="AB64" i="6"/>
  <c r="AC64" i="6" s="1"/>
  <c r="AB91" i="6"/>
  <c r="AB11" i="6"/>
  <c r="AB394" i="6"/>
  <c r="AB149" i="6"/>
  <c r="AC149" i="6" s="1"/>
  <c r="AB374" i="6"/>
  <c r="AC374" i="6" s="1"/>
  <c r="AB209" i="6"/>
  <c r="AC209" i="6" s="1"/>
  <c r="AB35" i="6"/>
  <c r="AB19" i="6"/>
  <c r="AB418" i="6"/>
  <c r="AB162" i="6"/>
  <c r="AB303" i="6"/>
  <c r="AC303" i="6" s="1"/>
  <c r="AB287" i="6"/>
  <c r="AB370" i="6"/>
  <c r="AB114" i="6"/>
  <c r="AB193" i="6"/>
  <c r="AB267" i="6"/>
  <c r="AB292" i="6"/>
  <c r="AC292" i="6" s="1"/>
  <c r="AB354" i="6"/>
  <c r="AB338" i="6"/>
  <c r="AB98" i="6"/>
  <c r="AC98" i="6" s="1"/>
  <c r="AB82" i="6"/>
  <c r="AC82" i="6" s="1"/>
  <c r="AB363" i="6"/>
  <c r="AB357" i="6"/>
  <c r="AC357" i="6" s="1"/>
  <c r="AB260" i="6"/>
  <c r="AC260" i="6" s="1"/>
  <c r="AB20" i="6"/>
  <c r="AB433" i="6"/>
  <c r="AC433" i="6" s="1"/>
  <c r="AB177" i="6"/>
  <c r="AC177" i="6" s="1"/>
  <c r="AB395" i="6"/>
  <c r="AB139" i="6"/>
  <c r="AB276" i="6"/>
  <c r="AB4" i="6"/>
  <c r="AC4" i="6" s="1"/>
  <c r="AB393" i="6"/>
  <c r="AB197" i="6"/>
  <c r="AC197" i="6" s="1"/>
  <c r="AB36" i="6"/>
  <c r="AB367" i="6"/>
  <c r="AB351" i="6"/>
  <c r="AB335" i="6"/>
  <c r="AB111" i="6"/>
  <c r="AB95" i="6"/>
  <c r="AC95" i="6" s="1"/>
  <c r="AB47" i="6"/>
  <c r="AB228" i="6"/>
  <c r="AC228" i="6" s="1"/>
  <c r="AB339" i="6"/>
  <c r="AB67" i="6"/>
  <c r="AB322" i="6"/>
  <c r="AC322" i="6" s="1"/>
  <c r="AB196" i="6"/>
  <c r="AB258" i="6"/>
  <c r="AB194" i="6"/>
  <c r="AB66" i="6"/>
  <c r="AC66" i="6" s="1"/>
  <c r="AB34" i="6"/>
  <c r="AC34" i="6" s="1"/>
  <c r="AB417" i="6"/>
  <c r="AB401" i="6"/>
  <c r="AB353" i="6"/>
  <c r="AB337" i="6"/>
  <c r="AC337" i="6" s="1"/>
  <c r="AB289" i="6"/>
  <c r="AC289" i="6" s="1"/>
  <c r="AB161" i="6"/>
  <c r="AB145" i="6"/>
  <c r="AB129" i="6"/>
  <c r="AB113" i="6"/>
  <c r="AB97" i="6"/>
  <c r="AC97" i="6" s="1"/>
  <c r="AB81" i="6"/>
  <c r="AB400" i="6"/>
  <c r="AB384" i="6"/>
  <c r="AB208" i="6"/>
  <c r="AC208" i="6" s="1"/>
  <c r="AB192" i="6"/>
  <c r="AB144" i="6"/>
  <c r="AC144" i="6" s="1"/>
  <c r="AB128" i="6"/>
  <c r="AB48" i="6"/>
  <c r="AC48" i="6" s="1"/>
  <c r="AB342" i="6"/>
  <c r="AC342" i="6" s="1"/>
  <c r="AB212" i="6"/>
  <c r="AB323" i="6"/>
  <c r="AB226" i="6"/>
  <c r="AB271" i="6"/>
  <c r="AC271" i="6" s="1"/>
  <c r="AB255" i="6"/>
  <c r="AB207" i="6"/>
  <c r="AC207" i="6" s="1"/>
  <c r="AB191" i="6"/>
  <c r="AB126" i="6"/>
  <c r="AB21" i="6"/>
  <c r="AC21" i="6" s="1"/>
  <c r="AB244" i="6"/>
  <c r="AB2" i="6"/>
  <c r="AC2" i="6" s="1"/>
  <c r="AB99" i="6"/>
  <c r="AC99" i="6" s="1"/>
  <c r="AB382" i="6"/>
  <c r="AB254" i="6"/>
  <c r="AB206" i="6"/>
  <c r="AB429" i="6"/>
  <c r="AB397" i="6"/>
  <c r="AB301" i="6"/>
  <c r="AB269" i="6"/>
  <c r="AB173" i="6"/>
  <c r="AB125" i="6"/>
  <c r="AB93" i="6"/>
  <c r="AB61" i="6"/>
  <c r="AB29" i="6"/>
  <c r="AB281" i="6"/>
  <c r="AB89" i="6"/>
  <c r="AB419" i="6"/>
  <c r="AC419" i="6" s="1"/>
  <c r="AB83" i="6"/>
  <c r="AC83" i="6" s="1"/>
  <c r="AB274" i="6"/>
  <c r="AB210" i="6"/>
  <c r="AC210" i="6" s="1"/>
  <c r="AB430" i="6"/>
  <c r="AB302" i="6"/>
  <c r="AB238" i="6"/>
  <c r="AB316" i="6"/>
  <c r="AB300" i="6"/>
  <c r="AB268" i="6"/>
  <c r="AB236" i="6"/>
  <c r="AB220" i="6"/>
  <c r="AB156" i="6"/>
  <c r="AB140" i="6"/>
  <c r="AB124" i="6"/>
  <c r="AB108" i="6"/>
  <c r="AB92" i="6"/>
  <c r="AB28" i="6"/>
  <c r="AB12" i="6"/>
  <c r="AC293" i="6"/>
  <c r="AB431" i="6"/>
  <c r="AC431" i="6" s="1"/>
  <c r="AB399" i="6"/>
  <c r="AC399" i="6" s="1"/>
  <c r="AB319" i="6"/>
  <c r="AC319" i="6" s="1"/>
  <c r="AB175" i="6"/>
  <c r="AC175" i="6" s="1"/>
  <c r="AB159" i="6"/>
  <c r="AB143" i="6"/>
  <c r="AC143" i="6" s="1"/>
  <c r="AB79" i="6"/>
  <c r="AB63" i="6"/>
  <c r="AB107" i="6"/>
  <c r="AB402" i="6"/>
  <c r="AC402" i="6" s="1"/>
  <c r="AB365" i="6"/>
  <c r="AB237" i="6"/>
  <c r="AB205" i="6"/>
  <c r="AB188" i="6"/>
  <c r="AB44" i="6"/>
  <c r="AB315" i="6"/>
  <c r="AB219" i="6"/>
  <c r="AB123" i="6"/>
  <c r="AB102" i="6"/>
  <c r="AC102" i="6" s="1"/>
  <c r="AB310" i="6"/>
  <c r="AC310" i="6" s="1"/>
  <c r="AB18" i="6"/>
  <c r="AB33" i="6"/>
  <c r="AC33" i="6" s="1"/>
  <c r="AB241" i="6"/>
  <c r="AC241" i="6" s="1"/>
  <c r="AB432" i="6"/>
  <c r="AC432" i="6" s="1"/>
  <c r="AB416" i="6"/>
  <c r="AB352" i="6"/>
  <c r="AB336" i="6"/>
  <c r="AC336" i="6" s="1"/>
  <c r="AC304" i="6"/>
  <c r="AB288" i="6"/>
  <c r="AB272" i="6"/>
  <c r="AB256" i="6"/>
  <c r="AB240" i="6"/>
  <c r="AC240" i="6" s="1"/>
  <c r="AB176" i="6"/>
  <c r="AC176" i="6" s="1"/>
  <c r="AB160" i="6"/>
  <c r="AB96" i="6"/>
  <c r="AC96" i="6" s="1"/>
  <c r="AB80" i="6"/>
  <c r="AB32" i="6"/>
  <c r="AB16" i="6"/>
  <c r="AB290" i="6"/>
  <c r="AC290" i="6" s="1"/>
  <c r="AB50" i="6"/>
  <c r="AB321" i="6"/>
  <c r="AC321" i="6" s="1"/>
  <c r="AB305" i="6"/>
  <c r="AC305" i="6" s="1"/>
  <c r="AB273" i="6"/>
  <c r="AB257" i="6"/>
  <c r="AB65" i="6"/>
  <c r="AC65" i="6" s="1"/>
  <c r="AB49" i="6"/>
  <c r="AC49" i="6" s="1"/>
  <c r="AB17" i="6"/>
  <c r="AB373" i="6"/>
  <c r="AC373" i="6" s="1"/>
  <c r="AB110" i="6"/>
  <c r="AB94" i="6"/>
  <c r="AB62" i="6"/>
  <c r="AB46" i="6"/>
  <c r="AB30" i="6"/>
  <c r="AB284" i="6"/>
  <c r="AB239" i="6"/>
  <c r="AC239" i="6" s="1"/>
  <c r="AB380" i="6"/>
  <c r="AB203" i="6"/>
  <c r="AB266" i="6"/>
  <c r="AB90" i="6"/>
  <c r="AB42" i="6"/>
  <c r="AB405" i="6"/>
  <c r="AC405" i="6" s="1"/>
  <c r="AB425" i="6"/>
  <c r="AB217" i="6"/>
  <c r="AB185" i="6"/>
  <c r="AB73" i="6"/>
  <c r="AB25" i="6"/>
  <c r="AB435" i="6"/>
  <c r="AC435" i="6" s="1"/>
  <c r="AB318" i="6"/>
  <c r="AB330" i="6"/>
  <c r="AB295" i="6"/>
  <c r="AB23" i="6"/>
  <c r="AB326" i="6"/>
  <c r="AC326" i="6" s="1"/>
  <c r="AB198" i="6"/>
  <c r="AC198" i="6" s="1"/>
  <c r="AB7" i="6"/>
  <c r="AB341" i="6"/>
  <c r="AC341" i="6" s="1"/>
  <c r="AB245" i="6"/>
  <c r="AC245" i="6" s="1"/>
  <c r="AC229" i="6"/>
  <c r="AB133" i="6"/>
  <c r="AC133" i="6" s="1"/>
  <c r="AB174" i="6"/>
  <c r="AB404" i="6"/>
  <c r="AC372" i="6"/>
  <c r="AC356" i="6"/>
  <c r="AB324" i="6"/>
  <c r="AB180" i="6"/>
  <c r="AC180" i="6" s="1"/>
  <c r="AB164" i="6"/>
  <c r="AC164" i="6" s="1"/>
  <c r="AB148" i="6"/>
  <c r="AC132" i="6"/>
  <c r="AC84" i="6"/>
  <c r="AB68" i="6"/>
  <c r="AB106" i="6"/>
  <c r="AB141" i="6"/>
  <c r="AB403" i="6"/>
  <c r="AB371" i="6"/>
  <c r="AC371" i="6" s="1"/>
  <c r="AC307" i="6"/>
  <c r="AB291" i="6"/>
  <c r="AC291" i="6" s="1"/>
  <c r="AB195" i="6"/>
  <c r="AB179" i="6"/>
  <c r="AC179" i="6" s="1"/>
  <c r="AB163" i="6"/>
  <c r="AC163" i="6" s="1"/>
  <c r="AB147" i="6"/>
  <c r="AB131" i="6"/>
  <c r="AC131" i="6" s="1"/>
  <c r="AB115" i="6"/>
  <c r="AB51" i="6"/>
  <c r="AC51" i="6" s="1"/>
  <c r="AC3" i="6"/>
  <c r="AB355" i="6"/>
  <c r="AC355" i="6" s="1"/>
  <c r="AB385" i="6"/>
  <c r="AB225" i="6"/>
  <c r="AB213" i="6"/>
  <c r="AC213" i="6" s="1"/>
  <c r="AB277" i="6"/>
  <c r="AC277" i="6" s="1"/>
  <c r="AB142" i="6"/>
  <c r="AB389" i="6"/>
  <c r="AC389" i="6" s="1"/>
  <c r="AB76" i="6"/>
  <c r="AB224" i="6"/>
  <c r="AB86" i="6"/>
  <c r="AC86" i="6" s="1"/>
  <c r="AB368" i="6"/>
  <c r="AB31" i="6"/>
  <c r="AB222" i="6"/>
  <c r="AB285" i="6"/>
  <c r="AB250" i="6"/>
  <c r="AB412" i="6"/>
  <c r="AB75" i="6"/>
  <c r="AB378" i="6"/>
  <c r="AB298" i="6"/>
  <c r="AB154" i="6"/>
  <c r="AB242" i="6"/>
  <c r="AB14" i="6"/>
  <c r="AB409" i="6"/>
  <c r="AB297" i="6"/>
  <c r="AB201" i="6"/>
  <c r="AB153" i="6"/>
  <c r="AB105" i="6"/>
  <c r="AB41" i="6"/>
  <c r="AB138" i="6"/>
  <c r="AB146" i="6"/>
  <c r="AC146" i="6" s="1"/>
  <c r="AB78" i="6"/>
  <c r="AB15" i="6"/>
  <c r="AB282" i="6"/>
  <c r="AB261" i="6"/>
  <c r="AC261" i="6" s="1"/>
  <c r="AB381" i="6"/>
  <c r="AB347" i="6"/>
  <c r="AB233" i="6"/>
  <c r="AB411" i="6"/>
  <c r="AB27" i="6"/>
  <c r="AB362" i="6"/>
  <c r="AB122" i="6"/>
  <c r="AB383" i="6"/>
  <c r="AB408" i="6"/>
  <c r="AB392" i="6"/>
  <c r="AB376" i="6"/>
  <c r="AB360" i="6"/>
  <c r="AB344" i="6"/>
  <c r="AB328" i="6"/>
  <c r="AB296" i="6"/>
  <c r="AB280" i="6"/>
  <c r="AB264" i="6"/>
  <c r="AB248" i="6"/>
  <c r="AB232" i="6"/>
  <c r="AB216" i="6"/>
  <c r="AB200" i="6"/>
  <c r="AB184" i="6"/>
  <c r="AB168" i="6"/>
  <c r="AB152" i="6"/>
  <c r="AB136" i="6"/>
  <c r="AB120" i="6"/>
  <c r="AB104" i="6"/>
  <c r="AB88" i="6"/>
  <c r="AB72" i="6"/>
  <c r="AB56" i="6"/>
  <c r="AB40" i="6"/>
  <c r="AB24" i="6"/>
  <c r="AB8" i="6"/>
  <c r="AB369" i="6"/>
  <c r="AB189" i="6"/>
  <c r="AB221" i="6"/>
  <c r="AB13" i="6"/>
  <c r="AB396" i="6"/>
  <c r="AB204" i="6"/>
  <c r="AB414" i="6"/>
  <c r="AB379" i="6"/>
  <c r="AB299" i="6"/>
  <c r="AB155" i="6"/>
  <c r="AB426" i="6"/>
  <c r="AB314" i="6"/>
  <c r="AB423" i="6"/>
  <c r="AB407" i="6"/>
  <c r="AB391" i="6"/>
  <c r="AB375" i="6"/>
  <c r="AB359" i="6"/>
  <c r="AB343" i="6"/>
  <c r="AB327" i="6"/>
  <c r="AB311" i="6"/>
  <c r="AB279" i="6"/>
  <c r="AB263" i="6"/>
  <c r="AB247" i="6"/>
  <c r="AB231" i="6"/>
  <c r="AB215" i="6"/>
  <c r="AB183" i="6"/>
  <c r="AB151" i="6"/>
  <c r="AB135" i="6"/>
  <c r="AB103" i="6"/>
  <c r="AB87" i="6"/>
  <c r="AB71" i="6"/>
  <c r="AB55" i="6"/>
  <c r="AB39" i="6"/>
  <c r="AB127" i="6"/>
  <c r="AB309" i="6"/>
  <c r="AC309" i="6" s="1"/>
  <c r="AB227" i="6"/>
  <c r="AC227" i="6" s="1"/>
  <c r="AB306" i="6"/>
  <c r="AC306" i="6" s="1"/>
  <c r="AB112" i="6"/>
  <c r="AB334" i="6"/>
  <c r="AB77" i="6"/>
  <c r="AB364" i="6"/>
  <c r="AB252" i="6"/>
  <c r="AB427" i="6"/>
  <c r="AB171" i="6"/>
  <c r="AB43" i="6"/>
  <c r="AB410" i="6"/>
  <c r="AB170" i="6"/>
  <c r="AB74" i="6"/>
  <c r="AB390" i="6"/>
  <c r="AC390" i="6" s="1"/>
  <c r="AB358" i="6"/>
  <c r="AC358" i="6" s="1"/>
  <c r="AB294" i="6"/>
  <c r="AC294" i="6" s="1"/>
  <c r="AB262" i="6"/>
  <c r="AC262" i="6" s="1"/>
  <c r="AB246" i="6"/>
  <c r="AC246" i="6" s="1"/>
  <c r="AB230" i="6"/>
  <c r="AC230" i="6" s="1"/>
  <c r="AB214" i="6"/>
  <c r="AC214" i="6" s="1"/>
  <c r="AB182" i="6"/>
  <c r="AC182" i="6" s="1"/>
  <c r="AB166" i="6"/>
  <c r="AC166" i="6" s="1"/>
  <c r="AB150" i="6"/>
  <c r="AC150" i="6" s="1"/>
  <c r="AB134" i="6"/>
  <c r="AC134" i="6" s="1"/>
  <c r="AB70" i="6"/>
  <c r="AC70" i="6" s="1"/>
  <c r="AB54" i="6"/>
  <c r="AC54" i="6" s="1"/>
  <c r="AB38" i="6"/>
  <c r="AC38" i="6" s="1"/>
  <c r="AB22" i="6"/>
  <c r="AC22" i="6" s="1"/>
  <c r="AB6" i="6"/>
  <c r="AC6" i="6" s="1"/>
  <c r="AB406" i="6"/>
  <c r="AC406" i="6" s="1"/>
  <c r="AB325" i="6"/>
  <c r="AC325" i="6" s="1"/>
  <c r="AB428" i="6"/>
  <c r="AB348" i="6"/>
  <c r="AB60" i="6"/>
  <c r="AB59" i="6"/>
  <c r="AB202" i="6"/>
  <c r="AB10" i="6"/>
  <c r="AB421" i="6"/>
  <c r="AC421" i="6" s="1"/>
  <c r="AB181" i="6"/>
  <c r="AC181" i="6" s="1"/>
  <c r="AB165" i="6"/>
  <c r="AC165" i="6" s="1"/>
  <c r="AB117" i="6"/>
  <c r="AC117" i="6" s="1"/>
  <c r="AB101" i="6"/>
  <c r="AC101" i="6" s="1"/>
  <c r="AB85" i="6"/>
  <c r="AC85" i="6" s="1"/>
  <c r="AB69" i="6"/>
  <c r="AC69" i="6" s="1"/>
  <c r="AB53" i="6"/>
  <c r="AC53" i="6" s="1"/>
  <c r="AB37" i="6"/>
  <c r="AC37" i="6" s="1"/>
  <c r="AB5" i="6"/>
  <c r="AC5" i="6" s="1"/>
  <c r="AB251" i="6"/>
  <c r="AB223" i="6"/>
  <c r="AB167" i="6"/>
  <c r="AB377" i="6"/>
  <c r="AB415" i="6"/>
  <c r="AC422" i="6"/>
  <c r="AB211" i="6"/>
  <c r="AC211" i="6" s="1"/>
  <c r="AB387" i="6"/>
  <c r="AB413" i="6"/>
  <c r="AB157" i="6"/>
  <c r="AB340" i="6"/>
  <c r="AC340" i="6" s="1"/>
  <c r="AC278" i="6"/>
  <c r="AB332" i="6"/>
  <c r="AB172" i="6"/>
  <c r="AB420" i="6"/>
  <c r="AC420" i="6" s="1"/>
  <c r="AB234" i="6"/>
  <c r="AB186" i="6"/>
  <c r="AB58" i="6"/>
  <c r="W274" i="6"/>
  <c r="W35" i="6"/>
  <c r="W415" i="6"/>
  <c r="W36" i="6"/>
  <c r="W247" i="6"/>
  <c r="W403" i="6"/>
  <c r="W287" i="6"/>
  <c r="W286" i="6"/>
  <c r="AC286" i="6" s="1"/>
  <c r="W404" i="6"/>
  <c r="W370" i="6"/>
  <c r="W276" i="6"/>
  <c r="W39" i="6"/>
  <c r="W327" i="6"/>
  <c r="W318" i="6"/>
  <c r="W275" i="6"/>
  <c r="AC275" i="6" s="1"/>
  <c r="W78" i="6"/>
  <c r="W47" i="6"/>
  <c r="W398" i="6"/>
  <c r="AC398" i="6" s="1"/>
  <c r="W158" i="6"/>
  <c r="AC158" i="6" s="1"/>
  <c r="W369" i="6"/>
  <c r="W116" i="6"/>
  <c r="AC116" i="6" s="1"/>
  <c r="W81" i="6"/>
  <c r="W190" i="6"/>
  <c r="AC190" i="6" s="1"/>
  <c r="W400" i="6"/>
  <c r="W161" i="6"/>
  <c r="W160" i="6"/>
  <c r="W273" i="6"/>
  <c r="W272" i="6"/>
  <c r="W255" i="6"/>
  <c r="W368" i="6"/>
  <c r="W32" i="6"/>
  <c r="W367" i="6"/>
  <c r="W115" i="6"/>
  <c r="W366" i="6"/>
  <c r="AC366" i="6" s="1"/>
  <c r="W243" i="6"/>
  <c r="AC243" i="6" s="1"/>
  <c r="W114" i="6"/>
  <c r="W30" i="6"/>
  <c r="W193" i="6"/>
  <c r="W80" i="6"/>
  <c r="W79" i="6"/>
  <c r="W159" i="6"/>
  <c r="W128" i="6"/>
  <c r="W244" i="6"/>
  <c r="W31" i="6"/>
  <c r="W335" i="6"/>
  <c r="W242" i="6"/>
  <c r="W113" i="6"/>
  <c r="W15" i="6"/>
  <c r="W192" i="6"/>
  <c r="W191" i="6"/>
  <c r="W401" i="6"/>
  <c r="W62" i="6"/>
  <c r="W196" i="6"/>
  <c r="W112" i="6"/>
  <c r="W324" i="6"/>
  <c r="W195" i="6"/>
  <c r="W111" i="6"/>
  <c r="W323" i="6"/>
  <c r="W194" i="6"/>
  <c r="W110" i="6"/>
  <c r="W407" i="6"/>
  <c r="W311" i="6"/>
  <c r="W71" i="6"/>
  <c r="W391" i="6"/>
  <c r="W263" i="6"/>
  <c r="W55" i="6"/>
  <c r="W430" i="6"/>
  <c r="W388" i="6"/>
  <c r="AC388" i="6" s="1"/>
  <c r="W224" i="6"/>
  <c r="W103" i="6"/>
  <c r="W18" i="6"/>
  <c r="W231" i="6"/>
  <c r="W359" i="6"/>
  <c r="W68" i="6"/>
  <c r="W147" i="6"/>
  <c r="W423" i="6"/>
  <c r="W387" i="6"/>
  <c r="W339" i="6"/>
  <c r="W259" i="6"/>
  <c r="AC259" i="6" s="1"/>
  <c r="W223" i="6"/>
  <c r="W142" i="6"/>
  <c r="W100" i="6"/>
  <c r="AC100" i="6" s="1"/>
  <c r="W17" i="6"/>
  <c r="W279" i="6"/>
  <c r="W148" i="6"/>
  <c r="W23" i="6"/>
  <c r="W225" i="6"/>
  <c r="W19" i="6"/>
  <c r="AC19" i="6" s="1"/>
  <c r="W386" i="6"/>
  <c r="AC386" i="6" s="1"/>
  <c r="W338" i="6"/>
  <c r="W302" i="6"/>
  <c r="W258" i="6"/>
  <c r="W222" i="6"/>
  <c r="W174" i="6"/>
  <c r="W135" i="6"/>
  <c r="W50" i="6"/>
  <c r="W16" i="6"/>
  <c r="W119" i="6"/>
  <c r="AC119" i="6" s="1"/>
  <c r="W151" i="6"/>
  <c r="W67" i="6"/>
  <c r="W226" i="6"/>
  <c r="W385" i="6"/>
  <c r="W215" i="6"/>
  <c r="W145" i="6"/>
  <c r="W343" i="6"/>
  <c r="W295" i="6"/>
  <c r="W257" i="6"/>
  <c r="W167" i="6"/>
  <c r="W87" i="6"/>
  <c r="W418" i="6"/>
  <c r="W375" i="6"/>
  <c r="W256" i="6"/>
  <c r="W212" i="6"/>
  <c r="W7" i="6"/>
  <c r="W183" i="6"/>
  <c r="W20" i="6"/>
  <c r="W417" i="6"/>
  <c r="W130" i="6"/>
  <c r="AC130" i="6" s="1"/>
  <c r="W416" i="6"/>
  <c r="W334" i="6"/>
  <c r="W288" i="6"/>
  <c r="W254" i="6"/>
  <c r="W199" i="6"/>
  <c r="AC199" i="6" s="1"/>
  <c r="W162" i="6"/>
  <c r="W129" i="6"/>
  <c r="W46" i="6"/>
  <c r="W380" i="6"/>
  <c r="W316" i="6"/>
  <c r="W236" i="6"/>
  <c r="W172" i="6"/>
  <c r="W108" i="6"/>
  <c r="W28" i="6"/>
  <c r="W347" i="6"/>
  <c r="W267" i="6"/>
  <c r="W187" i="6"/>
  <c r="AC187" i="6" s="1"/>
  <c r="W123" i="6"/>
  <c r="W75" i="6"/>
  <c r="W429" i="6"/>
  <c r="W29" i="6"/>
  <c r="W397" i="6"/>
  <c r="W141" i="6"/>
  <c r="W365" i="6"/>
  <c r="W189" i="6"/>
  <c r="W414" i="6"/>
  <c r="W384" i="6"/>
  <c r="W354" i="6"/>
  <c r="W301" i="6"/>
  <c r="W45" i="6"/>
  <c r="AC45" i="6" s="1"/>
  <c r="W428" i="6"/>
  <c r="W364" i="6"/>
  <c r="W332" i="6"/>
  <c r="W268" i="6"/>
  <c r="W204" i="6"/>
  <c r="W140" i="6"/>
  <c r="W60" i="6"/>
  <c r="W61" i="6"/>
  <c r="W411" i="6"/>
  <c r="W331" i="6"/>
  <c r="AC331" i="6" s="1"/>
  <c r="W251" i="6"/>
  <c r="W203" i="6"/>
  <c r="W139" i="6"/>
  <c r="W91" i="6"/>
  <c r="W11" i="6"/>
  <c r="W173" i="6"/>
  <c r="W77" i="6"/>
  <c r="W413" i="6"/>
  <c r="W383" i="6"/>
  <c r="W353" i="6"/>
  <c r="W270" i="6"/>
  <c r="AC270" i="6" s="1"/>
  <c r="W157" i="6"/>
  <c r="W127" i="6"/>
  <c r="W14" i="6"/>
  <c r="W412" i="6"/>
  <c r="W348" i="6"/>
  <c r="W284" i="6"/>
  <c r="W220" i="6"/>
  <c r="W92" i="6"/>
  <c r="W317" i="6"/>
  <c r="W427" i="6"/>
  <c r="W363" i="6"/>
  <c r="W283" i="6"/>
  <c r="W171" i="6"/>
  <c r="W27" i="6"/>
  <c r="W382" i="6"/>
  <c r="W352" i="6"/>
  <c r="W269" i="6"/>
  <c r="W126" i="6"/>
  <c r="W13" i="6"/>
  <c r="W396" i="6"/>
  <c r="W300" i="6"/>
  <c r="W252" i="6"/>
  <c r="W188" i="6"/>
  <c r="W124" i="6"/>
  <c r="W44" i="6"/>
  <c r="W395" i="6"/>
  <c r="W299" i="6"/>
  <c r="W219" i="6"/>
  <c r="W107" i="6"/>
  <c r="W59" i="6"/>
  <c r="W253" i="6"/>
  <c r="AC253" i="6" s="1"/>
  <c r="W221" i="6"/>
  <c r="W381" i="6"/>
  <c r="W351" i="6"/>
  <c r="W238" i="6"/>
  <c r="W125" i="6"/>
  <c r="W350" i="6"/>
  <c r="AC350" i="6" s="1"/>
  <c r="W237" i="6"/>
  <c r="W94" i="6"/>
  <c r="W205" i="6"/>
  <c r="W156" i="6"/>
  <c r="W76" i="6"/>
  <c r="W12" i="6"/>
  <c r="W379" i="6"/>
  <c r="W315" i="6"/>
  <c r="W235" i="6"/>
  <c r="AC235" i="6" s="1"/>
  <c r="W155" i="6"/>
  <c r="W43" i="6"/>
  <c r="W285" i="6"/>
  <c r="W109" i="6"/>
  <c r="AC109" i="6" s="1"/>
  <c r="W333" i="6"/>
  <c r="AC333" i="6" s="1"/>
  <c r="W349" i="6"/>
  <c r="AC349" i="6" s="1"/>
  <c r="W206" i="6"/>
  <c r="W93" i="6"/>
  <c r="W63" i="6"/>
  <c r="W426" i="6"/>
  <c r="W410" i="6"/>
  <c r="W394" i="6"/>
  <c r="W378" i="6"/>
  <c r="W362" i="6"/>
  <c r="W346" i="6"/>
  <c r="AC346" i="6" s="1"/>
  <c r="W330" i="6"/>
  <c r="W314" i="6"/>
  <c r="W298" i="6"/>
  <c r="W282" i="6"/>
  <c r="W266" i="6"/>
  <c r="W250" i="6"/>
  <c r="W234" i="6"/>
  <c r="W218" i="6"/>
  <c r="AC218" i="6" s="1"/>
  <c r="W202" i="6"/>
  <c r="W186" i="6"/>
  <c r="W170" i="6"/>
  <c r="W154" i="6"/>
  <c r="W138" i="6"/>
  <c r="W122" i="6"/>
  <c r="W106" i="6"/>
  <c r="W90" i="6"/>
  <c r="W74" i="6"/>
  <c r="W58" i="6"/>
  <c r="W42" i="6"/>
  <c r="W26" i="6"/>
  <c r="AC26" i="6" s="1"/>
  <c r="W10" i="6"/>
  <c r="W425" i="6"/>
  <c r="W409" i="6"/>
  <c r="W393" i="6"/>
  <c r="W377" i="6"/>
  <c r="W361" i="6"/>
  <c r="AC361" i="6" s="1"/>
  <c r="W345" i="6"/>
  <c r="AC345" i="6" s="1"/>
  <c r="W329" i="6"/>
  <c r="AC329" i="6" s="1"/>
  <c r="W313" i="6"/>
  <c r="AC313" i="6" s="1"/>
  <c r="W297" i="6"/>
  <c r="W281" i="6"/>
  <c r="W265" i="6"/>
  <c r="AC265" i="6" s="1"/>
  <c r="W249" i="6"/>
  <c r="AC249" i="6" s="1"/>
  <c r="W233" i="6"/>
  <c r="W217" i="6"/>
  <c r="W201" i="6"/>
  <c r="W185" i="6"/>
  <c r="W169" i="6"/>
  <c r="AC169" i="6" s="1"/>
  <c r="W153" i="6"/>
  <c r="W137" i="6"/>
  <c r="AC137" i="6" s="1"/>
  <c r="W121" i="6"/>
  <c r="AC121" i="6" s="1"/>
  <c r="W105" i="6"/>
  <c r="W89" i="6"/>
  <c r="W73" i="6"/>
  <c r="W57" i="6"/>
  <c r="AC57" i="6" s="1"/>
  <c r="W41" i="6"/>
  <c r="W25" i="6"/>
  <c r="W9" i="6"/>
  <c r="W424" i="6"/>
  <c r="AC424" i="6" s="1"/>
  <c r="W408" i="6"/>
  <c r="W392" i="6"/>
  <c r="W376" i="6"/>
  <c r="W360" i="6"/>
  <c r="W344" i="6"/>
  <c r="W328" i="6"/>
  <c r="W312" i="6"/>
  <c r="AC312" i="6" s="1"/>
  <c r="W296" i="6"/>
  <c r="W280" i="6"/>
  <c r="W264" i="6"/>
  <c r="W248" i="6"/>
  <c r="W232" i="6"/>
  <c r="W216" i="6"/>
  <c r="W200" i="6"/>
  <c r="W184" i="6"/>
  <c r="W168" i="6"/>
  <c r="W152" i="6"/>
  <c r="W136" i="6"/>
  <c r="W120" i="6"/>
  <c r="W104" i="6"/>
  <c r="W88" i="6"/>
  <c r="W72" i="6"/>
  <c r="W56" i="6"/>
  <c r="W40" i="6"/>
  <c r="W24" i="6"/>
  <c r="W8" i="6"/>
  <c r="AC283" i="6" l="1"/>
  <c r="AC317" i="6"/>
  <c r="AC162" i="6"/>
  <c r="AC9" i="6"/>
  <c r="AC299" i="6"/>
  <c r="AC23" i="6"/>
  <c r="AC394" i="6"/>
  <c r="AC11" i="6"/>
  <c r="AC91" i="6"/>
  <c r="AC59" i="6"/>
  <c r="AC287" i="6"/>
  <c r="AC267" i="6"/>
  <c r="AC193" i="6"/>
  <c r="AC114" i="6"/>
  <c r="AC35" i="6"/>
  <c r="AC92" i="6"/>
  <c r="AC263" i="6"/>
  <c r="AC192" i="6"/>
  <c r="AC418" i="6"/>
  <c r="AC370" i="6"/>
  <c r="AC225" i="6"/>
  <c r="AC378" i="6"/>
  <c r="AC363" i="6"/>
  <c r="AC219" i="6"/>
  <c r="AC50" i="6"/>
  <c r="AC205" i="6"/>
  <c r="AC393" i="6"/>
  <c r="AC367" i="6"/>
  <c r="AC206" i="6"/>
  <c r="AC351" i="6"/>
  <c r="AC44" i="6"/>
  <c r="AC237" i="6"/>
  <c r="AC338" i="6"/>
  <c r="AC20" i="6"/>
  <c r="AC212" i="6"/>
  <c r="AC359" i="6"/>
  <c r="AC316" i="6"/>
  <c r="AC335" i="6"/>
  <c r="AC67" i="6"/>
  <c r="AC47" i="6"/>
  <c r="AC115" i="6"/>
  <c r="AC36" i="6"/>
  <c r="AC354" i="6"/>
  <c r="AC274" i="6"/>
  <c r="AC295" i="6"/>
  <c r="AC174" i="6"/>
  <c r="AC7" i="6"/>
  <c r="AC315" i="6"/>
  <c r="AC81" i="6"/>
  <c r="AC403" i="6"/>
  <c r="AC125" i="6"/>
  <c r="AC129" i="6"/>
  <c r="AC222" i="6"/>
  <c r="AC255" i="6"/>
  <c r="AC327" i="6"/>
  <c r="AC272" i="6"/>
  <c r="AC124" i="6"/>
  <c r="AC236" i="6"/>
  <c r="AC339" i="6"/>
  <c r="AC61" i="6"/>
  <c r="AC258" i="6"/>
  <c r="AC126" i="6"/>
  <c r="AC29" i="6"/>
  <c r="AC194" i="6"/>
  <c r="AC244" i="6"/>
  <c r="AC276" i="6"/>
  <c r="AC395" i="6"/>
  <c r="AC139" i="6"/>
  <c r="AC288" i="6"/>
  <c r="AC111" i="6"/>
  <c r="AC159" i="6"/>
  <c r="AC414" i="6"/>
  <c r="AC89" i="6"/>
  <c r="AC384" i="6"/>
  <c r="AC220" i="6"/>
  <c r="AC93" i="6"/>
  <c r="AC113" i="6"/>
  <c r="AC140" i="6"/>
  <c r="AC160" i="6"/>
  <c r="AC268" i="6"/>
  <c r="AC123" i="6"/>
  <c r="AC79" i="6"/>
  <c r="AC400" i="6"/>
  <c r="AC120" i="6"/>
  <c r="AC46" i="6"/>
  <c r="AC318" i="6"/>
  <c r="AC302" i="6"/>
  <c r="AC285" i="6"/>
  <c r="AC269" i="6"/>
  <c r="AC254" i="6"/>
  <c r="AC323" i="6"/>
  <c r="AC136" i="6"/>
  <c r="AC352" i="6"/>
  <c r="AC161" i="6"/>
  <c r="AC408" i="6"/>
  <c r="AC382" i="6"/>
  <c r="AC353" i="6"/>
  <c r="AC145" i="6"/>
  <c r="AC233" i="6"/>
  <c r="AC168" i="6"/>
  <c r="AC74" i="6"/>
  <c r="AC330" i="6"/>
  <c r="AC383" i="6"/>
  <c r="AC416" i="6"/>
  <c r="AC324" i="6"/>
  <c r="AC87" i="6"/>
  <c r="AC385" i="6"/>
  <c r="AC264" i="6"/>
  <c r="AC428" i="6"/>
  <c r="AC417" i="6"/>
  <c r="AC196" i="6"/>
  <c r="AC252" i="6"/>
  <c r="AC122" i="6"/>
  <c r="AC12" i="6"/>
  <c r="AC173" i="6"/>
  <c r="AC28" i="6"/>
  <c r="AC296" i="6"/>
  <c r="AC430" i="6"/>
  <c r="AC202" i="6"/>
  <c r="AC188" i="6"/>
  <c r="AC300" i="6"/>
  <c r="AC396" i="6"/>
  <c r="AC412" i="6"/>
  <c r="AC141" i="6"/>
  <c r="AC250" i="6"/>
  <c r="AC238" i="6"/>
  <c r="AC13" i="6"/>
  <c r="AC397" i="6"/>
  <c r="AC429" i="6"/>
  <c r="AC128" i="6"/>
  <c r="AC392" i="6"/>
  <c r="AC221" i="6"/>
  <c r="AC8" i="6"/>
  <c r="AC281" i="6"/>
  <c r="AC226" i="6"/>
  <c r="AC30" i="6"/>
  <c r="AC279" i="6"/>
  <c r="AC62" i="6"/>
  <c r="AC10" i="6"/>
  <c r="AC364" i="6"/>
  <c r="AC138" i="6"/>
  <c r="AC301" i="6"/>
  <c r="AC108" i="6"/>
  <c r="AC401" i="6"/>
  <c r="AC156" i="6"/>
  <c r="AC191" i="6"/>
  <c r="AC90" i="6"/>
  <c r="AC334" i="6"/>
  <c r="AC328" i="6"/>
  <c r="AC16" i="6"/>
  <c r="AC195" i="6"/>
  <c r="AC107" i="6"/>
  <c r="AC215" i="6"/>
  <c r="AC344" i="6"/>
  <c r="AC112" i="6"/>
  <c r="AC410" i="6"/>
  <c r="AC63" i="6"/>
  <c r="AC203" i="6"/>
  <c r="AC256" i="6"/>
  <c r="AC284" i="6"/>
  <c r="AC380" i="6"/>
  <c r="AC32" i="6"/>
  <c r="AC18" i="6"/>
  <c r="AC282" i="6"/>
  <c r="AC148" i="6"/>
  <c r="AC365" i="6"/>
  <c r="AC80" i="6"/>
  <c r="AC404" i="6"/>
  <c r="AC247" i="6"/>
  <c r="AC407" i="6"/>
  <c r="AC413" i="6"/>
  <c r="AC25" i="6"/>
  <c r="AC17" i="6"/>
  <c r="AC423" i="6"/>
  <c r="AC110" i="6"/>
  <c r="AC332" i="6"/>
  <c r="AC377" i="6"/>
  <c r="AC73" i="6"/>
  <c r="AC379" i="6"/>
  <c r="AC409" i="6"/>
  <c r="AC88" i="6"/>
  <c r="AC360" i="6"/>
  <c r="AC266" i="6"/>
  <c r="AC60" i="6"/>
  <c r="AC257" i="6"/>
  <c r="AC147" i="6"/>
  <c r="AC273" i="6"/>
  <c r="AC152" i="6"/>
  <c r="AC106" i="6"/>
  <c r="AC103" i="6"/>
  <c r="AC72" i="6"/>
  <c r="AC411" i="6"/>
  <c r="AC104" i="6"/>
  <c r="AC185" i="6"/>
  <c r="AC376" i="6"/>
  <c r="AC201" i="6"/>
  <c r="AC381" i="6"/>
  <c r="AC68" i="6"/>
  <c r="AC94" i="6"/>
  <c r="AC153" i="6"/>
  <c r="AC425" i="6"/>
  <c r="AC14" i="6"/>
  <c r="AC217" i="6"/>
  <c r="AC42" i="6"/>
  <c r="AC298" i="6"/>
  <c r="AC204" i="6"/>
  <c r="AC75" i="6"/>
  <c r="AC58" i="6"/>
  <c r="AC43" i="6"/>
  <c r="AC343" i="6"/>
  <c r="AC189" i="6"/>
  <c r="AC184" i="6"/>
  <c r="AC362" i="6"/>
  <c r="AC31" i="6"/>
  <c r="AC314" i="6"/>
  <c r="AC155" i="6"/>
  <c r="AC231" i="6"/>
  <c r="AC223" i="6"/>
  <c r="AC171" i="6"/>
  <c r="AC39" i="6"/>
  <c r="AC200" i="6"/>
  <c r="AC27" i="6"/>
  <c r="AC105" i="6"/>
  <c r="AC368" i="6"/>
  <c r="AC151" i="6"/>
  <c r="AC154" i="6"/>
  <c r="AC55" i="6"/>
  <c r="AC251" i="6"/>
  <c r="AC170" i="6"/>
  <c r="AC142" i="6"/>
  <c r="AC234" i="6"/>
  <c r="AC167" i="6"/>
  <c r="AC297" i="6"/>
  <c r="AC183" i="6"/>
  <c r="AC248" i="6"/>
  <c r="AC426" i="6"/>
  <c r="AC24" i="6"/>
  <c r="AC280" i="6"/>
  <c r="AC391" i="6"/>
  <c r="AC15" i="6"/>
  <c r="AC78" i="6"/>
  <c r="AC127" i="6"/>
  <c r="AC77" i="6"/>
  <c r="AC224" i="6"/>
  <c r="AC41" i="6"/>
  <c r="AC427" i="6"/>
  <c r="AC375" i="6"/>
  <c r="AC347" i="6"/>
  <c r="AC216" i="6"/>
  <c r="AC369" i="6"/>
  <c r="AC232" i="6"/>
  <c r="AC76" i="6"/>
  <c r="AC40" i="6"/>
  <c r="AC135" i="6"/>
  <c r="AC71" i="6"/>
  <c r="AC56" i="6"/>
  <c r="AC348" i="6"/>
  <c r="AC311" i="6"/>
  <c r="AC242" i="6"/>
  <c r="AC157" i="6"/>
  <c r="AC415" i="6"/>
  <c r="AC387" i="6"/>
  <c r="AC172" i="6"/>
  <c r="AC186" i="6"/>
</calcChain>
</file>

<file path=xl/sharedStrings.xml><?xml version="1.0" encoding="utf-8"?>
<sst xmlns="http://schemas.openxmlformats.org/spreadsheetml/2006/main" count="8109" uniqueCount="925">
  <si>
    <t>OrderID</t>
  </si>
  <si>
    <t>CustomerID</t>
  </si>
  <si>
    <t>SalesRepID</t>
  </si>
  <si>
    <t>SalesRepName</t>
  </si>
  <si>
    <t>Date</t>
  </si>
  <si>
    <t>Time</t>
  </si>
  <si>
    <t>Product</t>
  </si>
  <si>
    <t>ProductCategory</t>
  </si>
  <si>
    <t>OrderQuantity</t>
  </si>
  <si>
    <t>UnitPrice</t>
  </si>
  <si>
    <t>SalesRegion</t>
  </si>
  <si>
    <t>SalesRepEmail</t>
  </si>
  <si>
    <t>Feedback</t>
  </si>
  <si>
    <t>ORD-00001</t>
  </si>
  <si>
    <t>CUST-754</t>
  </si>
  <si>
    <t>REP-13</t>
  </si>
  <si>
    <t>Ahmed Khan</t>
  </si>
  <si>
    <t>Laptop</t>
  </si>
  <si>
    <t>Computers</t>
  </si>
  <si>
    <t xml:space="preserve"> North America</t>
  </si>
  <si>
    <t>ahmedkhan@tg.inc</t>
  </si>
  <si>
    <t>Excellent quality</t>
  </si>
  <si>
    <t>ORD-00002</t>
  </si>
  <si>
    <t>CUST-529</t>
  </si>
  <si>
    <t>REP-17</t>
  </si>
  <si>
    <t>Maria Garcia</t>
  </si>
  <si>
    <t>Smartphone</t>
  </si>
  <si>
    <t>Mobile Devices</t>
  </si>
  <si>
    <t>Asia</t>
  </si>
  <si>
    <t>mariagarcia@tg.inc</t>
  </si>
  <si>
    <t>Fast delivery</t>
  </si>
  <si>
    <t>ORD-00003</t>
  </si>
  <si>
    <t>CUST-649</t>
  </si>
  <si>
    <t>Tablet</t>
  </si>
  <si>
    <t>Tablets</t>
  </si>
  <si>
    <t>Europe</t>
  </si>
  <si>
    <t>ahmedkhan@sales.techg.com</t>
  </si>
  <si>
    <t>Good value for money</t>
  </si>
  <si>
    <t>ORD-00004</t>
  </si>
  <si>
    <t>CUST-266</t>
  </si>
  <si>
    <t>REP-22</t>
  </si>
  <si>
    <t>Fatima Adebayo</t>
  </si>
  <si>
    <t>South America</t>
  </si>
  <si>
    <t>fatimaadebayo@sales.techg.com</t>
  </si>
  <si>
    <t>Very satisfied</t>
  </si>
  <si>
    <t>ORD-00005</t>
  </si>
  <si>
    <t>CUST-334</t>
  </si>
  <si>
    <t>REP-11</t>
  </si>
  <si>
    <t>Emma Dubois</t>
  </si>
  <si>
    <t>Smartwatch</t>
  </si>
  <si>
    <t>Wearables</t>
  </si>
  <si>
    <t>emmadubois@techgadgetsco.com</t>
  </si>
  <si>
    <t>ORD-00006</t>
  </si>
  <si>
    <t>CUST-470</t>
  </si>
  <si>
    <t>laptop</t>
  </si>
  <si>
    <t>North America</t>
  </si>
  <si>
    <t>mariagarcia@techgadgetsco.com</t>
  </si>
  <si>
    <t>ORD-00007</t>
  </si>
  <si>
    <t>CUST-838</t>
  </si>
  <si>
    <t>Africa</t>
  </si>
  <si>
    <t>ORD-00008</t>
  </si>
  <si>
    <t>CUST-482</t>
  </si>
  <si>
    <t>REP-15</t>
  </si>
  <si>
    <t>Sophie Lee</t>
  </si>
  <si>
    <t>sophielee@sales.techg.com</t>
  </si>
  <si>
    <t>ORD-00009</t>
  </si>
  <si>
    <t>CUST-878</t>
  </si>
  <si>
    <t>REP-33</t>
  </si>
  <si>
    <t>ORD-00010</t>
  </si>
  <si>
    <t>CUST-330</t>
  </si>
  <si>
    <t>REP-12</t>
  </si>
  <si>
    <t>Olivia Patel</t>
  </si>
  <si>
    <t xml:space="preserve"> Asia</t>
  </si>
  <si>
    <t>oliviapatel@tg.inc</t>
  </si>
  <si>
    <t>Packaging was damaged</t>
  </si>
  <si>
    <t>ORD-00011</t>
  </si>
  <si>
    <t>CUST-690</t>
  </si>
  <si>
    <t>REP-29</t>
  </si>
  <si>
    <t>Headphones</t>
  </si>
  <si>
    <t>Audio</t>
  </si>
  <si>
    <t>sophielee@tg.inc</t>
  </si>
  <si>
    <t>ORD-00012</t>
  </si>
  <si>
    <t>CUST-532</t>
  </si>
  <si>
    <t>ORD-00013</t>
  </si>
  <si>
    <t>CUST-510</t>
  </si>
  <si>
    <t>emmadubois@tg.inc</t>
  </si>
  <si>
    <t>ORD-00014</t>
  </si>
  <si>
    <t>CUST-865</t>
  </si>
  <si>
    <t>REP-21</t>
  </si>
  <si>
    <t xml:space="preserve"> Europe</t>
  </si>
  <si>
    <t>fatimaadebayo@tg.inc</t>
  </si>
  <si>
    <t>ORD-00015</t>
  </si>
  <si>
    <t>CUST-708</t>
  </si>
  <si>
    <t>smartwatch</t>
  </si>
  <si>
    <t>emmadubois@sales.techg.com</t>
  </si>
  <si>
    <t>Perfect fit</t>
  </si>
  <si>
    <t>ORD-00016</t>
  </si>
  <si>
    <t>CUST-569</t>
  </si>
  <si>
    <t>REP-35</t>
  </si>
  <si>
    <t>Carlos Rodriguez</t>
  </si>
  <si>
    <t>carlosrodriguez@tg.inc</t>
  </si>
  <si>
    <t>ORD-00017</t>
  </si>
  <si>
    <t>CUST-108</t>
  </si>
  <si>
    <t>Battery life amazing</t>
  </si>
  <si>
    <t>ORD-00018</t>
  </si>
  <si>
    <t>CUST-749</t>
  </si>
  <si>
    <t>REP-24</t>
  </si>
  <si>
    <t>Liam Chen</t>
  </si>
  <si>
    <t>liamchen@sales.techg.com</t>
  </si>
  <si>
    <t>A bit expensive but worth it</t>
  </si>
  <si>
    <t>ORD-00019</t>
  </si>
  <si>
    <t>CUST-251</t>
  </si>
  <si>
    <t>liamchen@techgadgetsco.com</t>
  </si>
  <si>
    <t>ORD-00020</t>
  </si>
  <si>
    <t>CUST-919</t>
  </si>
  <si>
    <t>ORD-00021</t>
  </si>
  <si>
    <t>CUST-412</t>
  </si>
  <si>
    <t>AFRICA</t>
  </si>
  <si>
    <t>ORD-00022</t>
  </si>
  <si>
    <t>CUST-211</t>
  </si>
  <si>
    <t>LAPTOP</t>
  </si>
  <si>
    <t xml:space="preserve"> South America</t>
  </si>
  <si>
    <t>carlosrodriguez@techgadgetsco.com</t>
  </si>
  <si>
    <t>ORD-00023</t>
  </si>
  <si>
    <t>CUST-438</t>
  </si>
  <si>
    <t>Fantastic customer service</t>
  </si>
  <si>
    <t>ORD-00024</t>
  </si>
  <si>
    <t>CUST-100</t>
  </si>
  <si>
    <t>REP-20</t>
  </si>
  <si>
    <t>ORD-00025</t>
  </si>
  <si>
    <t>CUST-417</t>
  </si>
  <si>
    <t>ORD-00026</t>
  </si>
  <si>
    <t>CUST-981</t>
  </si>
  <si>
    <t>Great product</t>
  </si>
  <si>
    <t>ORD-00027</t>
  </si>
  <si>
    <t>CUST-836</t>
  </si>
  <si>
    <t>REP-32</t>
  </si>
  <si>
    <t>ORD-00028</t>
  </si>
  <si>
    <t>CUST-182</t>
  </si>
  <si>
    <t>REP-14</t>
  </si>
  <si>
    <t>ORD-00029</t>
  </si>
  <si>
    <t>CUST-106</t>
  </si>
  <si>
    <t>Highly recommend</t>
  </si>
  <si>
    <t>ORD-00030</t>
  </si>
  <si>
    <t>CUST-737</t>
  </si>
  <si>
    <t>ORD-00031</t>
  </si>
  <si>
    <t>CUST-954</t>
  </si>
  <si>
    <t>north america</t>
  </si>
  <si>
    <t>ORD-00032</t>
  </si>
  <si>
    <t>CUST-323</t>
  </si>
  <si>
    <t>REP-28</t>
  </si>
  <si>
    <t>ORD-00033</t>
  </si>
  <si>
    <t>CUST-807</t>
  </si>
  <si>
    <t>ORD-00034</t>
  </si>
  <si>
    <t>TABLET</t>
  </si>
  <si>
    <t>mariagarcia@sales.techg.com</t>
  </si>
  <si>
    <t>ORD-00035</t>
  </si>
  <si>
    <t>CUST-349</t>
  </si>
  <si>
    <t>africa</t>
  </si>
  <si>
    <t>ORD-00036</t>
  </si>
  <si>
    <t>CUST-876</t>
  </si>
  <si>
    <t>ORD-00037</t>
  </si>
  <si>
    <t>CUST-336</t>
  </si>
  <si>
    <t>smartphone</t>
  </si>
  <si>
    <t>ORD-00038</t>
  </si>
  <si>
    <t>CUST-646</t>
  </si>
  <si>
    <t>Quick shipping</t>
  </si>
  <si>
    <t>ORD-00039</t>
  </si>
  <si>
    <t>CUST-166</t>
  </si>
  <si>
    <t>REP-23</t>
  </si>
  <si>
    <t>Noah Kim</t>
  </si>
  <si>
    <t>noahkim@sales.techg.com</t>
  </si>
  <si>
    <t>Love the design</t>
  </si>
  <si>
    <t>ORD-00040</t>
  </si>
  <si>
    <t>CUST-702</t>
  </si>
  <si>
    <t>ORD-00041</t>
  </si>
  <si>
    <t>CUST-819</t>
  </si>
  <si>
    <t>ORD-00042</t>
  </si>
  <si>
    <t>CUST-944</t>
  </si>
  <si>
    <t>REP-34</t>
  </si>
  <si>
    <t xml:space="preserve"> Africa</t>
  </si>
  <si>
    <t>ORD-00043</t>
  </si>
  <si>
    <t>ORD-00044</t>
  </si>
  <si>
    <t>CUST-978</t>
  </si>
  <si>
    <t>SMARTWATCH</t>
  </si>
  <si>
    <t>ORD-00045</t>
  </si>
  <si>
    <t>CUST-573</t>
  </si>
  <si>
    <t>headphones</t>
  </si>
  <si>
    <t>ORD-00046</t>
  </si>
  <si>
    <t>CUST-517</t>
  </si>
  <si>
    <t>oliviapatel@techgadgetsco.com</t>
  </si>
  <si>
    <t>ORD-00047</t>
  </si>
  <si>
    <t>CUST-239</t>
  </si>
  <si>
    <t>ORD-00048</t>
  </si>
  <si>
    <t>CUST-429</t>
  </si>
  <si>
    <t>REP-16</t>
  </si>
  <si>
    <t>HEADPHONES</t>
  </si>
  <si>
    <t>ORD-00049</t>
  </si>
  <si>
    <t>CUST-704</t>
  </si>
  <si>
    <t>ORD-00050</t>
  </si>
  <si>
    <t>CUST-979</t>
  </si>
  <si>
    <t>ORD-00051</t>
  </si>
  <si>
    <t>CUST-147</t>
  </si>
  <si>
    <t>ORD-00052</t>
  </si>
  <si>
    <t>CUST-753</t>
  </si>
  <si>
    <t>REP-18</t>
  </si>
  <si>
    <t>ORD-00053</t>
  </si>
  <si>
    <t>CUST-973</t>
  </si>
  <si>
    <t>ORD-00054</t>
  </si>
  <si>
    <t>CUST-393</t>
  </si>
  <si>
    <t>ORD-00055</t>
  </si>
  <si>
    <t>CUST-905</t>
  </si>
  <si>
    <t>ORD-00056</t>
  </si>
  <si>
    <t>CUST-966</t>
  </si>
  <si>
    <t>ORD-00057</t>
  </si>
  <si>
    <t>CUST-435</t>
  </si>
  <si>
    <t>carlosrodriguez@sales.techg.com</t>
  </si>
  <si>
    <t>ORD-00058</t>
  </si>
  <si>
    <t>CUST-813</t>
  </si>
  <si>
    <t>ORD-00059</t>
  </si>
  <si>
    <t>CUST-760</t>
  </si>
  <si>
    <t>ORD-00060</t>
  </si>
  <si>
    <t>CUST-321</t>
  </si>
  <si>
    <t>ORD-00061</t>
  </si>
  <si>
    <t>CUST-531</t>
  </si>
  <si>
    <t>ORD-00062</t>
  </si>
  <si>
    <t>CUST-590</t>
  </si>
  <si>
    <t>ORD-00063</t>
  </si>
  <si>
    <t>CUST-617</t>
  </si>
  <si>
    <t>ORD-00064</t>
  </si>
  <si>
    <t>CUST-256</t>
  </si>
  <si>
    <t>Not as expected</t>
  </si>
  <si>
    <t>ORD-00065</t>
  </si>
  <si>
    <t>CUST-714</t>
  </si>
  <si>
    <t>ORD-00066</t>
  </si>
  <si>
    <t>CUST-129</t>
  </si>
  <si>
    <t>ORD-00067</t>
  </si>
  <si>
    <t>CUST-895</t>
  </si>
  <si>
    <t>ORD-00068</t>
  </si>
  <si>
    <t>CUST-707</t>
  </si>
  <si>
    <t>ASIA</t>
  </si>
  <si>
    <t>sophielee@techgadgetsco.com</t>
  </si>
  <si>
    <t>ORD-00069</t>
  </si>
  <si>
    <t>CUST-672</t>
  </si>
  <si>
    <t>ORD-00070</t>
  </si>
  <si>
    <t>ORD-00071</t>
  </si>
  <si>
    <t>CUST-459</t>
  </si>
  <si>
    <t>ORD-00072</t>
  </si>
  <si>
    <t>CUST-169</t>
  </si>
  <si>
    <t>Would buy again</t>
  </si>
  <si>
    <t>ORD-00073</t>
  </si>
  <si>
    <t>CUST-667</t>
  </si>
  <si>
    <t>ORD-00074</t>
  </si>
  <si>
    <t>CUST-635</t>
  </si>
  <si>
    <t>ORD-00075</t>
  </si>
  <si>
    <t>CUST-994</t>
  </si>
  <si>
    <t>ORD-00076</t>
  </si>
  <si>
    <t>CUST-118</t>
  </si>
  <si>
    <t>ORD-00077</t>
  </si>
  <si>
    <t>CUST-234</t>
  </si>
  <si>
    <t>ORD-00078</t>
  </si>
  <si>
    <t>CUST-344</t>
  </si>
  <si>
    <t>ORD-00079</t>
  </si>
  <si>
    <t>CUST-205</t>
  </si>
  <si>
    <t>ORD-00080</t>
  </si>
  <si>
    <t>CUST-183</t>
  </si>
  <si>
    <t>tablet</t>
  </si>
  <si>
    <t>ORD-00081</t>
  </si>
  <si>
    <t>CUST-320</t>
  </si>
  <si>
    <t>ORD-00082</t>
  </si>
  <si>
    <t>CUST-398</t>
  </si>
  <si>
    <t>ORD-00083</t>
  </si>
  <si>
    <t>noahkim@tg.inc</t>
  </si>
  <si>
    <t>ORD-00084</t>
  </si>
  <si>
    <t>CUST-238</t>
  </si>
  <si>
    <t>ORD-00085</t>
  </si>
  <si>
    <t>CUST-439</t>
  </si>
  <si>
    <t>ORD-00086</t>
  </si>
  <si>
    <t>CUST-428</t>
  </si>
  <si>
    <t>ORD-00087</t>
  </si>
  <si>
    <t>CUST-920</t>
  </si>
  <si>
    <t>SMARTPHONE</t>
  </si>
  <si>
    <t>ORD-00088</t>
  </si>
  <si>
    <t>CUST-475</t>
  </si>
  <si>
    <t>ORD-00089</t>
  </si>
  <si>
    <t>CUST-276</t>
  </si>
  <si>
    <t>ORD-00090</t>
  </si>
  <si>
    <t>CUST-469</t>
  </si>
  <si>
    <t>ORD-00091</t>
  </si>
  <si>
    <t>CUST-999</t>
  </si>
  <si>
    <t>ORD-00092</t>
  </si>
  <si>
    <t>CUST-750</t>
  </si>
  <si>
    <t>ORD-00093</t>
  </si>
  <si>
    <t>CUST-756</t>
  </si>
  <si>
    <t>ORD-00094</t>
  </si>
  <si>
    <t>CUST-525</t>
  </si>
  <si>
    <t>ORD-00095</t>
  </si>
  <si>
    <t>CUST-397</t>
  </si>
  <si>
    <t>ORD-00096</t>
  </si>
  <si>
    <t>ORD-00097</t>
  </si>
  <si>
    <t>CUST-395</t>
  </si>
  <si>
    <t>ORD-00098</t>
  </si>
  <si>
    <t>CUST-146</t>
  </si>
  <si>
    <t>ORD-00099</t>
  </si>
  <si>
    <t>CUST-676</t>
  </si>
  <si>
    <t>ORD-00100</t>
  </si>
  <si>
    <t>CUST-744</t>
  </si>
  <si>
    <t>ORD-00101</t>
  </si>
  <si>
    <t>CUST-778</t>
  </si>
  <si>
    <t>ORD-00102</t>
  </si>
  <si>
    <t>ORD-00103</t>
  </si>
  <si>
    <t>CUST-552</t>
  </si>
  <si>
    <t>ORD-00104</t>
  </si>
  <si>
    <t>CUST-834</t>
  </si>
  <si>
    <t>ORD-00105</t>
  </si>
  <si>
    <t>CUST-647</t>
  </si>
  <si>
    <t>ORD-00106</t>
  </si>
  <si>
    <t>CUST-605</t>
  </si>
  <si>
    <t>ORD-00107</t>
  </si>
  <si>
    <t>CUST-946</t>
  </si>
  <si>
    <t>ORD-00108</t>
  </si>
  <si>
    <t>CUST-783</t>
  </si>
  <si>
    <t>ORD-00109</t>
  </si>
  <si>
    <t>CUST-662</t>
  </si>
  <si>
    <t>ORD-00110</t>
  </si>
  <si>
    <t>CUST-310</t>
  </si>
  <si>
    <t>ORD-00111</t>
  </si>
  <si>
    <t>CUST-165</t>
  </si>
  <si>
    <t>ORD-00112</t>
  </si>
  <si>
    <t>CUST-652</t>
  </si>
  <si>
    <t>ORD-00113</t>
  </si>
  <si>
    <t>CUST-382</t>
  </si>
  <si>
    <t>ORD-00114</t>
  </si>
  <si>
    <t>CUST-322</t>
  </si>
  <si>
    <t>ORD-00115</t>
  </si>
  <si>
    <t>CUST-705</t>
  </si>
  <si>
    <t>ORD-00116</t>
  </si>
  <si>
    <t>CUST-247</t>
  </si>
  <si>
    <t>ORD-00117</t>
  </si>
  <si>
    <t>CUST-140</t>
  </si>
  <si>
    <t>ORD-00118</t>
  </si>
  <si>
    <t>CUST-506</t>
  </si>
  <si>
    <t>ORD-00119</t>
  </si>
  <si>
    <t>ORD-00120</t>
  </si>
  <si>
    <t>CUST-757</t>
  </si>
  <si>
    <t>ORD-00121</t>
  </si>
  <si>
    <t>ORD-00122</t>
  </si>
  <si>
    <t>CUST-117</t>
  </si>
  <si>
    <t>ORD-00123</t>
  </si>
  <si>
    <t>CUST-968</t>
  </si>
  <si>
    <t>ORD-00124</t>
  </si>
  <si>
    <t>CUST-640</t>
  </si>
  <si>
    <t>ORD-00125</t>
  </si>
  <si>
    <t>CUST-507</t>
  </si>
  <si>
    <t>ORD-00126</t>
  </si>
  <si>
    <t>CUST-448</t>
  </si>
  <si>
    <t>ORD-00127</t>
  </si>
  <si>
    <t>CUST-175</t>
  </si>
  <si>
    <t>ORD-00128</t>
  </si>
  <si>
    <t>ORD-00129</t>
  </si>
  <si>
    <t>CUST-242</t>
  </si>
  <si>
    <t>ORD-00130</t>
  </si>
  <si>
    <t>CUST-505</t>
  </si>
  <si>
    <t>ORD-00131</t>
  </si>
  <si>
    <t>CUST-900</t>
  </si>
  <si>
    <t>ORD-00132</t>
  </si>
  <si>
    <t>CUST-951</t>
  </si>
  <si>
    <t>ORD-00133</t>
  </si>
  <si>
    <t>CUST-137</t>
  </si>
  <si>
    <t>ORD-00134</t>
  </si>
  <si>
    <t>CUST-631</t>
  </si>
  <si>
    <t>ORD-00135</t>
  </si>
  <si>
    <t>CUST-633</t>
  </si>
  <si>
    <t>ORD-00136</t>
  </si>
  <si>
    <t>CUST-665</t>
  </si>
  <si>
    <t>ORD-00137</t>
  </si>
  <si>
    <t>CUST-870</t>
  </si>
  <si>
    <t>ORD-00138</t>
  </si>
  <si>
    <t>CUST-789</t>
  </si>
  <si>
    <t>ORD-00139</t>
  </si>
  <si>
    <t>CUST-277</t>
  </si>
  <si>
    <t>ORD-00140</t>
  </si>
  <si>
    <t>CUST-554</t>
  </si>
  <si>
    <t>ORD-00141</t>
  </si>
  <si>
    <t>CUST-943</t>
  </si>
  <si>
    <t>ORD-00142</t>
  </si>
  <si>
    <t>ORD-00143</t>
  </si>
  <si>
    <t>CUST-795</t>
  </si>
  <si>
    <t>ORD-00144</t>
  </si>
  <si>
    <t>CUST-913</t>
  </si>
  <si>
    <t>ORD-00145</t>
  </si>
  <si>
    <t>CUST-539</t>
  </si>
  <si>
    <t>ORD-00146</t>
  </si>
  <si>
    <t>ORD-00147</t>
  </si>
  <si>
    <t>CUST-318</t>
  </si>
  <si>
    <t>ORD-00148</t>
  </si>
  <si>
    <t>CUST-406</t>
  </si>
  <si>
    <t>ORD-00149</t>
  </si>
  <si>
    <t>CUST-703</t>
  </si>
  <si>
    <t>ORD-00150</t>
  </si>
  <si>
    <t>CUST-501</t>
  </si>
  <si>
    <t>ORD-00151</t>
  </si>
  <si>
    <t>CUST-888</t>
  </si>
  <si>
    <t>ORD-00152</t>
  </si>
  <si>
    <t>CUST-308</t>
  </si>
  <si>
    <t>ORD-00153</t>
  </si>
  <si>
    <t>CUST-222</t>
  </si>
  <si>
    <t>REP-10</t>
  </si>
  <si>
    <t>ORD-00154</t>
  </si>
  <si>
    <t>CUST-378</t>
  </si>
  <si>
    <t>ORD-00155</t>
  </si>
  <si>
    <t>CUST-983</t>
  </si>
  <si>
    <t>ORD-00156</t>
  </si>
  <si>
    <t>CUST-614</t>
  </si>
  <si>
    <t>ORD-00157</t>
  </si>
  <si>
    <t>ORD-00158</t>
  </si>
  <si>
    <t>CUST-603</t>
  </si>
  <si>
    <t>ORD-00159</t>
  </si>
  <si>
    <t>CUST-163</t>
  </si>
  <si>
    <t>ORD-00160</t>
  </si>
  <si>
    <t>CUST-516</t>
  </si>
  <si>
    <t>ORD-00161</t>
  </si>
  <si>
    <t>CUST-150</t>
  </si>
  <si>
    <t>ORD-00162</t>
  </si>
  <si>
    <t>CUST-745</t>
  </si>
  <si>
    <t>ORD-00163</t>
  </si>
  <si>
    <t>CUST-799</t>
  </si>
  <si>
    <t>ORD-00164</t>
  </si>
  <si>
    <t>CUST-916</t>
  </si>
  <si>
    <t>ORD-00165</t>
  </si>
  <si>
    <t>CUST-928</t>
  </si>
  <si>
    <t>ORD-00166</t>
  </si>
  <si>
    <t>CUST-814</t>
  </si>
  <si>
    <t>south america</t>
  </si>
  <si>
    <t>ORD-00167</t>
  </si>
  <si>
    <t>ORD-00168</t>
  </si>
  <si>
    <t>CUST-203</t>
  </si>
  <si>
    <t>fatimaadebayo@techgadgetsco.com</t>
  </si>
  <si>
    <t>ORD-00169</t>
  </si>
  <si>
    <t>CUST-281</t>
  </si>
  <si>
    <t>ORD-00170</t>
  </si>
  <si>
    <t>CUST-271</t>
  </si>
  <si>
    <t>ORD-00171</t>
  </si>
  <si>
    <t>CUST-659</t>
  </si>
  <si>
    <t>ORD-00172</t>
  </si>
  <si>
    <t>CUST-821</t>
  </si>
  <si>
    <t>ORD-00173</t>
  </si>
  <si>
    <t>CUST-502</t>
  </si>
  <si>
    <t>ORD-00174</t>
  </si>
  <si>
    <t>CUST-582</t>
  </si>
  <si>
    <t>ORD-00175</t>
  </si>
  <si>
    <t>CUST-784</t>
  </si>
  <si>
    <t>ORD-00176</t>
  </si>
  <si>
    <t>CUST-629</t>
  </si>
  <si>
    <t>ORD-00177</t>
  </si>
  <si>
    <t>CUST-189</t>
  </si>
  <si>
    <t>ORD-00178</t>
  </si>
  <si>
    <t>CUST-392</t>
  </si>
  <si>
    <t>ORD-00179</t>
  </si>
  <si>
    <t>CUST-375</t>
  </si>
  <si>
    <t>ORD-00180</t>
  </si>
  <si>
    <t>CUST-292</t>
  </si>
  <si>
    <t>ORD-00181</t>
  </si>
  <si>
    <t>CUST-159</t>
  </si>
  <si>
    <t>ORD-00182</t>
  </si>
  <si>
    <t>CUST-458</t>
  </si>
  <si>
    <t>ORD-00183</t>
  </si>
  <si>
    <t>CUST-798</t>
  </si>
  <si>
    <t>ORD-00184</t>
  </si>
  <si>
    <t>CUST-738</t>
  </si>
  <si>
    <t>ORD-00185</t>
  </si>
  <si>
    <t>CUST-405</t>
  </si>
  <si>
    <t>ORD-00186</t>
  </si>
  <si>
    <t>CUST-935</t>
  </si>
  <si>
    <t>ORD-00187</t>
  </si>
  <si>
    <t>ORD-00188</t>
  </si>
  <si>
    <t>CUST-797</t>
  </si>
  <si>
    <t>ORD-00189</t>
  </si>
  <si>
    <t>ORD-00190</t>
  </si>
  <si>
    <t>CUST-304</t>
  </si>
  <si>
    <t>ORD-00191</t>
  </si>
  <si>
    <t>CUST-710</t>
  </si>
  <si>
    <t>ORD-00192</t>
  </si>
  <si>
    <t>ORD-00193</t>
  </si>
  <si>
    <t>CUST-811</t>
  </si>
  <si>
    <t>ORD-00194</t>
  </si>
  <si>
    <t>ORD-00195</t>
  </si>
  <si>
    <t>CUST-840</t>
  </si>
  <si>
    <t>ORD-00196</t>
  </si>
  <si>
    <t>CUST-972</t>
  </si>
  <si>
    <t>ORD-00197</t>
  </si>
  <si>
    <t>ORD-00198</t>
  </si>
  <si>
    <t>CUST-551</t>
  </si>
  <si>
    <t>ORD-00199</t>
  </si>
  <si>
    <t>CUST-792</t>
  </si>
  <si>
    <t>ORD-00200</t>
  </si>
  <si>
    <t>CUST-512</t>
  </si>
  <si>
    <t>ORD-00201</t>
  </si>
  <si>
    <t>CUST-752</t>
  </si>
  <si>
    <t>ORD-00202</t>
  </si>
  <si>
    <t>CUST-449</t>
  </si>
  <si>
    <t>ORD-00203</t>
  </si>
  <si>
    <t>CUST-446</t>
  </si>
  <si>
    <t>ORD-00204</t>
  </si>
  <si>
    <t>CUST-808</t>
  </si>
  <si>
    <t>ORD-00205</t>
  </si>
  <si>
    <t>CUST-522</t>
  </si>
  <si>
    <t>ORD-00206</t>
  </si>
  <si>
    <t>CUST-615</t>
  </si>
  <si>
    <t>ORD-00207</t>
  </si>
  <si>
    <t>CUST-157</t>
  </si>
  <si>
    <t>ORD-00208</t>
  </si>
  <si>
    <t>CUST-903</t>
  </si>
  <si>
    <t>ORD-00209</t>
  </si>
  <si>
    <t>CUST-763</t>
  </si>
  <si>
    <t>ORD-00210</t>
  </si>
  <si>
    <t>ORD-00211</t>
  </si>
  <si>
    <t>CUST-656</t>
  </si>
  <si>
    <t>ORD-00212</t>
  </si>
  <si>
    <t>ORD-00213</t>
  </si>
  <si>
    <t>CUST-767</t>
  </si>
  <si>
    <t>ORD-00214</t>
  </si>
  <si>
    <t>CUST-257</t>
  </si>
  <si>
    <t>ORD-00215</t>
  </si>
  <si>
    <t>ORD-00216</t>
  </si>
  <si>
    <t>CUST-260</t>
  </si>
  <si>
    <t>ORD-00217</t>
  </si>
  <si>
    <t>CUST-650</t>
  </si>
  <si>
    <t>ORD-00218</t>
  </si>
  <si>
    <t>CUST-971</t>
  </si>
  <si>
    <t>ORD-00219</t>
  </si>
  <si>
    <t>CUST-561</t>
  </si>
  <si>
    <t>ORD-00220</t>
  </si>
  <si>
    <t>ORD-00221</t>
  </si>
  <si>
    <t>CUST-746</t>
  </si>
  <si>
    <t>ORD-00222</t>
  </si>
  <si>
    <t>CUST-472</t>
  </si>
  <si>
    <t>ORD-00223</t>
  </si>
  <si>
    <t>CUST-337</t>
  </si>
  <si>
    <t>ORD-00224</t>
  </si>
  <si>
    <t>CUST-692</t>
  </si>
  <si>
    <t>ORD-00225</t>
  </si>
  <si>
    <t>CUST-550</t>
  </si>
  <si>
    <t>ORD-00226</t>
  </si>
  <si>
    <t>CUST-520</t>
  </si>
  <si>
    <t>ORD-00227</t>
  </si>
  <si>
    <t>CUST-187</t>
  </si>
  <si>
    <t>ORD-00228</t>
  </si>
  <si>
    <t>CUST-487</t>
  </si>
  <si>
    <t>ORD-00229</t>
  </si>
  <si>
    <t>CUST-717</t>
  </si>
  <si>
    <t>ORD-00230</t>
  </si>
  <si>
    <t>ORD-00231</t>
  </si>
  <si>
    <t>CUST-648</t>
  </si>
  <si>
    <t>ORD-00232</t>
  </si>
  <si>
    <t>CUST-984</t>
  </si>
  <si>
    <t>ORD-00233</t>
  </si>
  <si>
    <t>CUST-190</t>
  </si>
  <si>
    <t>ORD-00234</t>
  </si>
  <si>
    <t>CUST-923</t>
  </si>
  <si>
    <t>ORD-00235</t>
  </si>
  <si>
    <t>CUST-700</t>
  </si>
  <si>
    <t>ORD-00236</t>
  </si>
  <si>
    <t>CUST-174</t>
  </si>
  <si>
    <t>ORD-00237</t>
  </si>
  <si>
    <t>CUST-593</t>
  </si>
  <si>
    <t>ORD-00238</t>
  </si>
  <si>
    <t>CUST-282</t>
  </si>
  <si>
    <t>ORD-00239</t>
  </si>
  <si>
    <t>ORD-00240</t>
  </si>
  <si>
    <t>CUST-638</t>
  </si>
  <si>
    <t>ORD-00241</t>
  </si>
  <si>
    <t>CUST-369</t>
  </si>
  <si>
    <t>ORD-00242</t>
  </si>
  <si>
    <t>CUST-668</t>
  </si>
  <si>
    <t>ORD-00243</t>
  </si>
  <si>
    <t>ORD-00244</t>
  </si>
  <si>
    <t>ORD-00245</t>
  </si>
  <si>
    <t>CUST-173</t>
  </si>
  <si>
    <t>ORD-00246</t>
  </si>
  <si>
    <t>CUST-123</t>
  </si>
  <si>
    <t>ORD-00247</t>
  </si>
  <si>
    <t>CUST-732</t>
  </si>
  <si>
    <t>ORD-00248</t>
  </si>
  <si>
    <t>CUST-661</t>
  </si>
  <si>
    <t>ORD-00249</t>
  </si>
  <si>
    <t>ORD-00250</t>
  </si>
  <si>
    <t>CUST-267</t>
  </si>
  <si>
    <t>ORD-00251</t>
  </si>
  <si>
    <t>CUST-213</t>
  </si>
  <si>
    <t>ORD-00252</t>
  </si>
  <si>
    <t>CUST-450</t>
  </si>
  <si>
    <t>ORD-00253</t>
  </si>
  <si>
    <t>CUST-112</t>
  </si>
  <si>
    <t>ORD-00254</t>
  </si>
  <si>
    <t>ORD-00255</t>
  </si>
  <si>
    <t>CUST-143</t>
  </si>
  <si>
    <t>ORD-00256</t>
  </si>
  <si>
    <t>CUST-907</t>
  </si>
  <si>
    <t>ORD-00257</t>
  </si>
  <si>
    <t>CUST-713</t>
  </si>
  <si>
    <t>ORD-00258</t>
  </si>
  <si>
    <t>CUST-774</t>
  </si>
  <si>
    <t>ORD-00259</t>
  </si>
  <si>
    <t>CUST-201</t>
  </si>
  <si>
    <t>ORD-00260</t>
  </si>
  <si>
    <t>CUST-579</t>
  </si>
  <si>
    <t>ORD-00261</t>
  </si>
  <si>
    <t>ORD-00262</t>
  </si>
  <si>
    <t>CUST-460</t>
  </si>
  <si>
    <t>ORD-00263</t>
  </si>
  <si>
    <t>CUST-843</t>
  </si>
  <si>
    <t>ORD-00264</t>
  </si>
  <si>
    <t>CUST-685</t>
  </si>
  <si>
    <t>ORD-00265</t>
  </si>
  <si>
    <t>CUST-945</t>
  </si>
  <si>
    <t>ORD-00266</t>
  </si>
  <si>
    <t>CUST-716</t>
  </si>
  <si>
    <t>ORD-00267</t>
  </si>
  <si>
    <t>CUST-542</t>
  </si>
  <si>
    <t>ORD-00268</t>
  </si>
  <si>
    <t>CUST-300</t>
  </si>
  <si>
    <t>ORD-00269</t>
  </si>
  <si>
    <t>CUST-941</t>
  </si>
  <si>
    <t>ORD-00270</t>
  </si>
  <si>
    <t>CUST-560</t>
  </si>
  <si>
    <t>ORD-00271</t>
  </si>
  <si>
    <t>CUST-908</t>
  </si>
  <si>
    <t>ORD-00272</t>
  </si>
  <si>
    <t>CUST-423</t>
  </si>
  <si>
    <t>ORD-00273</t>
  </si>
  <si>
    <t>CUST-613</t>
  </si>
  <si>
    <t>ORD-00274</t>
  </si>
  <si>
    <t>CUST-419</t>
  </si>
  <si>
    <t>ORD-00275</t>
  </si>
  <si>
    <t>ORD-00276</t>
  </si>
  <si>
    <t>CUST-126</t>
  </si>
  <si>
    <t>ORD-00277</t>
  </si>
  <si>
    <t>CUST-133</t>
  </si>
  <si>
    <t>ORD-00278</t>
  </si>
  <si>
    <t>CUST-722</t>
  </si>
  <si>
    <t>ORD-00279</t>
  </si>
  <si>
    <t>ORD-00280</t>
  </si>
  <si>
    <t>CUST-564</t>
  </si>
  <si>
    <t>ORD-00281</t>
  </si>
  <si>
    <t>CUST-144</t>
  </si>
  <si>
    <t>ORD-00282</t>
  </si>
  <si>
    <t>CUST-609</t>
  </si>
  <si>
    <t>ORD-00283</t>
  </si>
  <si>
    <t>ORD-00284</t>
  </si>
  <si>
    <t>CUST-477</t>
  </si>
  <si>
    <t>ORD-00285</t>
  </si>
  <si>
    <t>ORD-00286</t>
  </si>
  <si>
    <t>CUST-740</t>
  </si>
  <si>
    <t>ORD-00287</t>
  </si>
  <si>
    <t>ORD-00288</t>
  </si>
  <si>
    <t>ORD-00289</t>
  </si>
  <si>
    <t>CUST-684</t>
  </si>
  <si>
    <t>ORD-00290</t>
  </si>
  <si>
    <t>ORD-00291</t>
  </si>
  <si>
    <t>CUST-235</t>
  </si>
  <si>
    <t>ORD-00292</t>
  </si>
  <si>
    <t>CUST-691</t>
  </si>
  <si>
    <t>EUROPE</t>
  </si>
  <si>
    <t>ORD-00293</t>
  </si>
  <si>
    <t>CUST-377</t>
  </si>
  <si>
    <t>SOUTH AMERICA</t>
  </si>
  <si>
    <t>ORD-00294</t>
  </si>
  <si>
    <t>CUST-706</t>
  </si>
  <si>
    <t>ORD-00295</t>
  </si>
  <si>
    <t>CUST-884</t>
  </si>
  <si>
    <t>ORD-00296</t>
  </si>
  <si>
    <t>ORD-00297</t>
  </si>
  <si>
    <t>ORD-00298</t>
  </si>
  <si>
    <t>CUST-171</t>
  </si>
  <si>
    <t>ORD-00299</t>
  </si>
  <si>
    <t>ORD-00300</t>
  </si>
  <si>
    <t>CUST-673</t>
  </si>
  <si>
    <t>ORD-00301</t>
  </si>
  <si>
    <t>CUST-527</t>
  </si>
  <si>
    <t>ORD-00302</t>
  </si>
  <si>
    <t>ORD-00303</t>
  </si>
  <si>
    <t>CUST-138</t>
  </si>
  <si>
    <t>ORD-00304</t>
  </si>
  <si>
    <t>ORD-00305</t>
  </si>
  <si>
    <t>CUST-411</t>
  </si>
  <si>
    <t>ORD-00306</t>
  </si>
  <si>
    <t>CUST-363</t>
  </si>
  <si>
    <t>ORD-00307</t>
  </si>
  <si>
    <t>CUST-957</t>
  </si>
  <si>
    <t>ORD-00308</t>
  </si>
  <si>
    <t>CUST-645</t>
  </si>
  <si>
    <t>ORD-00309</t>
  </si>
  <si>
    <t>CUST-964</t>
  </si>
  <si>
    <t>ORD-00310</t>
  </si>
  <si>
    <t>CUST-110</t>
  </si>
  <si>
    <t>NORTH AMERICA</t>
  </si>
  <si>
    <t>ORD-00311</t>
  </si>
  <si>
    <t>ORD-00312</t>
  </si>
  <si>
    <t>ORD-00313</t>
  </si>
  <si>
    <t>CUST-832</t>
  </si>
  <si>
    <t>ORD-00314</t>
  </si>
  <si>
    <t>CUST-889</t>
  </si>
  <si>
    <t>ORD-00315</t>
  </si>
  <si>
    <t>CUST-762</t>
  </si>
  <si>
    <t>ORD-00316</t>
  </si>
  <si>
    <t>CUST-294</t>
  </si>
  <si>
    <t>ORD-00317</t>
  </si>
  <si>
    <t>ORD-00318</t>
  </si>
  <si>
    <t>CUST-747</t>
  </si>
  <si>
    <t>ORD-00319</t>
  </si>
  <si>
    <t>CUST-511</t>
  </si>
  <si>
    <t>ORD-00320</t>
  </si>
  <si>
    <t>CUST-202</t>
  </si>
  <si>
    <t>ORD-00321</t>
  </si>
  <si>
    <t>CUST-521</t>
  </si>
  <si>
    <t>ORD-00322</t>
  </si>
  <si>
    <t>ORD-00323</t>
  </si>
  <si>
    <t>CUST-924</t>
  </si>
  <si>
    <t>ORD-00324</t>
  </si>
  <si>
    <t>CUST-212</t>
  </si>
  <si>
    <t>ORD-00325</t>
  </si>
  <si>
    <t>CUST-298</t>
  </si>
  <si>
    <t>ORD-00326</t>
  </si>
  <si>
    <t>CUST-726</t>
  </si>
  <si>
    <t>ORD-00327</t>
  </si>
  <si>
    <t>ORD-00328</t>
  </si>
  <si>
    <t>CUST-467</t>
  </si>
  <si>
    <t>ORD-00329</t>
  </si>
  <si>
    <t>CUST-820</t>
  </si>
  <si>
    <t>ORD-00330</t>
  </si>
  <si>
    <t>CUST-790</t>
  </si>
  <si>
    <t>ORD-00331</t>
  </si>
  <si>
    <t>ORD-00332</t>
  </si>
  <si>
    <t>CUST-399</t>
  </si>
  <si>
    <t>ORD-00333</t>
  </si>
  <si>
    <t>ORD-00334</t>
  </si>
  <si>
    <t>CUST-781</t>
  </si>
  <si>
    <t>ORD-00335</t>
  </si>
  <si>
    <t>ORD-00336</t>
  </si>
  <si>
    <t>ORD-00337</t>
  </si>
  <si>
    <t>CUST-687</t>
  </si>
  <si>
    <t>ORD-00338</t>
  </si>
  <si>
    <t>CUST-639</t>
  </si>
  <si>
    <t>ORD-00339</t>
  </si>
  <si>
    <t>CUST-495</t>
  </si>
  <si>
    <t>ORD-00340</t>
  </si>
  <si>
    <t>CUST-712</t>
  </si>
  <si>
    <t>ORD-00341</t>
  </si>
  <si>
    <t>CUST-240</t>
  </si>
  <si>
    <t xml:space="preserve"> EUROPE</t>
  </si>
  <si>
    <t>ORD-00342</t>
  </si>
  <si>
    <t>CUST-283</t>
  </si>
  <si>
    <t>ORD-00343</t>
  </si>
  <si>
    <t>CUST-365</t>
  </si>
  <si>
    <t>ORD-00344</t>
  </si>
  <si>
    <t>CUST-196</t>
  </si>
  <si>
    <t>ORD-00345</t>
  </si>
  <si>
    <t>ORD-00346</t>
  </si>
  <si>
    <t>CUST-456</t>
  </si>
  <si>
    <t>ORD-00347</t>
  </si>
  <si>
    <t>CUST-535</t>
  </si>
  <si>
    <t>ORD-00348</t>
  </si>
  <si>
    <t>ORD-00349</t>
  </si>
  <si>
    <t>CUST-275</t>
  </si>
  <si>
    <t>ORD-00350</t>
  </si>
  <si>
    <t>CUST-421</t>
  </si>
  <si>
    <t>ORD-00351</t>
  </si>
  <si>
    <t>ORD-00352</t>
  </si>
  <si>
    <t>CUST-272</t>
  </si>
  <si>
    <t>ORD-00353</t>
  </si>
  <si>
    <t>CUST-596</t>
  </si>
  <si>
    <t>ORD-00354</t>
  </si>
  <si>
    <t>CUST-736</t>
  </si>
  <si>
    <t>ORD-00355</t>
  </si>
  <si>
    <t>ORD-00356</t>
  </si>
  <si>
    <t>CUST-500</t>
  </si>
  <si>
    <t>asia</t>
  </si>
  <si>
    <t>ORD-00357</t>
  </si>
  <si>
    <t>ORD-00358</t>
  </si>
  <si>
    <t>ORD-00359</t>
  </si>
  <si>
    <t>CUST-306</t>
  </si>
  <si>
    <t>ORD-00360</t>
  </si>
  <si>
    <t>CUST-314</t>
  </si>
  <si>
    <t>ORD-00361</t>
  </si>
  <si>
    <t>CUST-611</t>
  </si>
  <si>
    <t>ORD-00362</t>
  </si>
  <si>
    <t>ORD-00363</t>
  </si>
  <si>
    <t>ORD-00364</t>
  </si>
  <si>
    <t>CUST-959</t>
  </si>
  <si>
    <t>ORD-00365</t>
  </si>
  <si>
    <t>CUST-861</t>
  </si>
  <si>
    <t>ORD-00366</t>
  </si>
  <si>
    <t>ORD-00367</t>
  </si>
  <si>
    <t>CUST-931</t>
  </si>
  <si>
    <t>ORD-00368</t>
  </si>
  <si>
    <t>CUST-134</t>
  </si>
  <si>
    <t>ORD-00369</t>
  </si>
  <si>
    <t>ORD-00370</t>
  </si>
  <si>
    <t>CUST-427</t>
  </si>
  <si>
    <t>ORD-00371</t>
  </si>
  <si>
    <t>ORD-00372</t>
  </si>
  <si>
    <t>ORD-00373</t>
  </si>
  <si>
    <t>ORD-00374</t>
  </si>
  <si>
    <t>CUST-340</t>
  </si>
  <si>
    <t>ORD-00375</t>
  </si>
  <si>
    <t>CUST-424</t>
  </si>
  <si>
    <t>ORD-00376</t>
  </si>
  <si>
    <t>CUST-854</t>
  </si>
  <si>
    <t>ORD-00377</t>
  </si>
  <si>
    <t>CUST-568</t>
  </si>
  <si>
    <t>ORD-00378</t>
  </si>
  <si>
    <t>CUST-178</t>
  </si>
  <si>
    <t>ORD-00379</t>
  </si>
  <si>
    <t>CUST-105</t>
  </si>
  <si>
    <t>ORD-00380</t>
  </si>
  <si>
    <t>ORD-00381</t>
  </si>
  <si>
    <t>CUST-198</t>
  </si>
  <si>
    <t>ORD-00382</t>
  </si>
  <si>
    <t>CUST-802</t>
  </si>
  <si>
    <t>ORD-00383</t>
  </si>
  <si>
    <t>CUST-622</t>
  </si>
  <si>
    <t>ORD-00384</t>
  </si>
  <si>
    <t>ORD-00385</t>
  </si>
  <si>
    <t>ORD-00386</t>
  </si>
  <si>
    <t>CUST-295</t>
  </si>
  <si>
    <t>ORD-00387</t>
  </si>
  <si>
    <t>CUST-856</t>
  </si>
  <si>
    <t>ORD-00388</t>
  </si>
  <si>
    <t>ORD-00389</t>
  </si>
  <si>
    <t>CUST-219</t>
  </si>
  <si>
    <t>ORD-00390</t>
  </si>
  <si>
    <t>CUST-526</t>
  </si>
  <si>
    <t>ORD-00391</t>
  </si>
  <si>
    <t>ORD-00392</t>
  </si>
  <si>
    <t>ORD-00393</t>
  </si>
  <si>
    <t>ORD-00394</t>
  </si>
  <si>
    <t>ORD-00395</t>
  </si>
  <si>
    <t>CUST-130</t>
  </si>
  <si>
    <t>ORD-00396</t>
  </si>
  <si>
    <t>CUST-996</t>
  </si>
  <si>
    <t>ORD-00397</t>
  </si>
  <si>
    <t>ORD-00398</t>
  </si>
  <si>
    <t>ORD-00399</t>
  </si>
  <si>
    <t>CUST-874</t>
  </si>
  <si>
    <t>ORD-00400</t>
  </si>
  <si>
    <t>ORD-00401</t>
  </si>
  <si>
    <t>CUST-897</t>
  </si>
  <si>
    <t>ORD-00402</t>
  </si>
  <si>
    <t>CUST-584</t>
  </si>
  <si>
    <t>ORD-00403</t>
  </si>
  <si>
    <t>ORD-00404</t>
  </si>
  <si>
    <t>CUST-720</t>
  </si>
  <si>
    <t>ORD-00405</t>
  </si>
  <si>
    <t>CUST-761</t>
  </si>
  <si>
    <t>ORD-00406</t>
  </si>
  <si>
    <t>CUST-223</t>
  </si>
  <si>
    <t xml:space="preserve"> africa</t>
  </si>
  <si>
    <t>ORD-00407</t>
  </si>
  <si>
    <t>CUST-491</t>
  </si>
  <si>
    <t>ORD-00408</t>
  </si>
  <si>
    <t>ORD-00409</t>
  </si>
  <si>
    <t>CUST-167</t>
  </si>
  <si>
    <t>ORD-00410</t>
  </si>
  <si>
    <t>ORD-00411</t>
  </si>
  <si>
    <t>ORD-00412</t>
  </si>
  <si>
    <t>ORD-00413</t>
  </si>
  <si>
    <t>ORD-00414</t>
  </si>
  <si>
    <t>ORD-00415</t>
  </si>
  <si>
    <t>CUST-387</t>
  </si>
  <si>
    <t>ORD-00416</t>
  </si>
  <si>
    <t>ORD-00417</t>
  </si>
  <si>
    <t>ORD-00418</t>
  </si>
  <si>
    <t>CUST-855</t>
  </si>
  <si>
    <t>ORD-00419</t>
  </si>
  <si>
    <t>ORD-00420</t>
  </si>
  <si>
    <t>CUST-156</t>
  </si>
  <si>
    <t>ORD-00421</t>
  </si>
  <si>
    <t>CUST-735</t>
  </si>
  <si>
    <t>ORD-00422</t>
  </si>
  <si>
    <t>CUST-842</t>
  </si>
  <si>
    <t>ORD-00423</t>
  </si>
  <si>
    <t>ORD-00424</t>
  </si>
  <si>
    <t>CUST-443</t>
  </si>
  <si>
    <t>ORD-00425</t>
  </si>
  <si>
    <t>CUST-857</t>
  </si>
  <si>
    <t>ORD-00426</t>
  </si>
  <si>
    <t>CUST-278</t>
  </si>
  <si>
    <t>ORD-00427</t>
  </si>
  <si>
    <t>CUST-478</t>
  </si>
  <si>
    <t>ORD-00428</t>
  </si>
  <si>
    <t>CUST-974</t>
  </si>
  <si>
    <t>ORD-00429</t>
  </si>
  <si>
    <t>CUST-869</t>
  </si>
  <si>
    <t>ORD-00430</t>
  </si>
  <si>
    <t>ORD-00431</t>
  </si>
  <si>
    <t>CUST-518</t>
  </si>
  <si>
    <t>ORD-00432</t>
  </si>
  <si>
    <t>ORD-00433</t>
  </si>
  <si>
    <t>CUST-901</t>
  </si>
  <si>
    <t>ORD-00434</t>
  </si>
  <si>
    <t>CUST-420</t>
  </si>
  <si>
    <t>Region</t>
  </si>
  <si>
    <t>TaxRate</t>
  </si>
  <si>
    <t>DiscountRate</t>
  </si>
  <si>
    <t>Cost</t>
  </si>
  <si>
    <t>Gross Revenue</t>
  </si>
  <si>
    <t>Unit Cost</t>
  </si>
  <si>
    <t>Total Cost</t>
  </si>
  <si>
    <t>Tax Rate</t>
  </si>
  <si>
    <t>Tax Amount</t>
  </si>
  <si>
    <t>Discount Rate</t>
  </si>
  <si>
    <t>Discount Amount</t>
  </si>
  <si>
    <t>Net Sales</t>
  </si>
  <si>
    <t>Product Category</t>
  </si>
  <si>
    <t>Year</t>
  </si>
  <si>
    <t>Month</t>
  </si>
  <si>
    <t>Day</t>
  </si>
  <si>
    <t>Hour</t>
  </si>
  <si>
    <t>Minutes</t>
  </si>
  <si>
    <t>Seconds</t>
  </si>
  <si>
    <t>Positive</t>
  </si>
  <si>
    <t>Negative</t>
  </si>
  <si>
    <t>Neutral</t>
  </si>
  <si>
    <t>Profit/Loss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</si>
</sst>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[$₦-470]* #,##0.00_-;\-[$₦-470]* #,##0.00_-;_-[$₦-470]* &quot;-&quot;??_-;_-@_-"/>
    <numFmt numFmtId="165" formatCode="_-[$₦-466]\ * #,##0.00_-;\-[$₦-466]\ * #,##0.00_-;_-[$₦-466]\ * &quot;-&quot;??_-;_-@_-"/>
    <numFmt numFmtId="166" formatCode="_-[$₦-466]\ * #,##0.0_-;\-[$₦-466]\ * #,##0.0_-;_-[$₦-466]\ * &quot;-&quot;??_-;_-@_-"/>
    <numFmt numFmtId="167" formatCode="_-[$₦-471]\ * #,##0_-;\-[$₦-471]\ * #,##0_-;_-[$₦-471]\ * &quot;-&quot;??_-;_-@_-"/>
    <numFmt numFmtId="168" formatCode="[$-F400]h:mm:ss\ AM/PM"/>
    <numFmt numFmtId="169" formatCode="_-[$₦-466]\ * #,##0_-;\-[$₦-466]\ * #,##0_-;_-[$₦-466]\ * &quot;-&quot;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7">
    <xf numFmtId="0" fontId="0" fillId="0" borderId="0" xfId="0"/>
    <xf numFmtId="14" fontId="0" fillId="0" borderId="0" xfId="0" applyNumberFormat="1"/>
    <xf numFmtId="21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/>
    <xf numFmtId="9" fontId="1" fillId="0" borderId="0" xfId="1" applyFont="1"/>
    <xf numFmtId="9" fontId="0" fillId="0" borderId="0" xfId="1" applyFont="1"/>
    <xf numFmtId="164" fontId="1" fillId="0" borderId="0" xfId="0" applyNumberFormat="1" applyFont="1"/>
    <xf numFmtId="164" fontId="0" fillId="0" borderId="0" xfId="0" applyNumberFormat="1"/>
    <xf numFmtId="9" fontId="1" fillId="0" borderId="0" xfId="0" applyNumberFormat="1" applyFont="1"/>
    <xf numFmtId="9" fontId="0" fillId="0" borderId="0" xfId="0" applyNumberFormat="1"/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  <xf numFmtId="167" fontId="1" fillId="0" borderId="0" xfId="0" applyNumberFormat="1" applyFont="1"/>
    <xf numFmtId="167" fontId="0" fillId="0" borderId="0" xfId="0" applyNumberFormat="1"/>
    <xf numFmtId="14" fontId="1" fillId="0" borderId="0" xfId="0" applyNumberFormat="1" applyFont="1"/>
    <xf numFmtId="168" fontId="1" fillId="0" borderId="0" xfId="0" applyNumberFormat="1" applyFont="1"/>
    <xf numFmtId="168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CDCAE-6EE6-4A60-8D7D-4C5D50AB4907}">
  <dimension ref="A1:AC435"/>
  <sheetViews>
    <sheetView tabSelected="1" topLeftCell="V1" workbookViewId="0">
      <selection activeCell="V1" sqref="V1"/>
    </sheetView>
  </sheetViews>
  <sheetFormatPr defaultColWidth="21.81640625" defaultRowHeight="14.5" x14ac:dyDescent="0.35"/>
  <cols>
    <col min="9" max="12" width="21.81640625" style="22"/>
    <col min="14" max="14" width="23" customWidth="1"/>
    <col min="15" max="15" width="21.81640625" style="24"/>
    <col min="16" max="16" width="21.81640625" style="11"/>
    <col min="17" max="17" width="21.81640625" style="26"/>
    <col min="19" max="19" width="33" customWidth="1"/>
    <col min="22" max="22" width="21.81640625" style="17"/>
    <col min="23" max="23" width="21.81640625" style="19"/>
    <col min="24" max="24" width="21.81640625" style="13"/>
    <col min="25" max="25" width="21.81640625" style="15"/>
    <col min="26" max="26" width="21.81640625" style="9"/>
    <col min="27" max="27" width="21.81640625" style="11"/>
  </cols>
  <sheetData>
    <row r="1" spans="1:29" s="7" customFormat="1" x14ac:dyDescent="0.35">
      <c r="A1" s="7" t="s">
        <v>0</v>
      </c>
      <c r="B1" s="7" t="s">
        <v>1</v>
      </c>
      <c r="C1" s="7" t="s">
        <v>2</v>
      </c>
      <c r="D1" s="7" t="s">
        <v>3</v>
      </c>
      <c r="E1" s="20" t="s">
        <v>4</v>
      </c>
      <c r="F1" s="20" t="s">
        <v>915</v>
      </c>
      <c r="G1" s="20" t="s">
        <v>916</v>
      </c>
      <c r="H1" s="20" t="s">
        <v>917</v>
      </c>
      <c r="I1" s="21" t="s">
        <v>5</v>
      </c>
      <c r="J1" s="21" t="s">
        <v>918</v>
      </c>
      <c r="K1" s="21" t="s">
        <v>919</v>
      </c>
      <c r="L1" s="21" t="s">
        <v>920</v>
      </c>
      <c r="M1" s="7" t="s">
        <v>6</v>
      </c>
      <c r="N1" s="7" t="s">
        <v>914</v>
      </c>
      <c r="O1" s="23" t="s">
        <v>8</v>
      </c>
      <c r="P1" s="10" t="s">
        <v>9</v>
      </c>
      <c r="Q1" s="25" t="s">
        <v>907</v>
      </c>
      <c r="R1" s="7" t="s">
        <v>10</v>
      </c>
      <c r="S1" s="7" t="s">
        <v>11</v>
      </c>
      <c r="T1" s="7" t="s">
        <v>12</v>
      </c>
      <c r="U1" s="7" t="s">
        <v>12</v>
      </c>
      <c r="V1" s="16" t="s">
        <v>906</v>
      </c>
      <c r="W1" s="18" t="s">
        <v>908</v>
      </c>
      <c r="X1" s="12" t="s">
        <v>909</v>
      </c>
      <c r="Y1" s="14" t="s">
        <v>910</v>
      </c>
      <c r="Z1" s="8" t="s">
        <v>911</v>
      </c>
      <c r="AA1" s="10" t="s">
        <v>912</v>
      </c>
      <c r="AB1" s="7" t="s">
        <v>913</v>
      </c>
      <c r="AC1" s="7" t="s">
        <v>924</v>
      </c>
    </row>
    <row r="2" spans="1:29" x14ac:dyDescent="0.35">
      <c r="A2" t="s">
        <v>13</v>
      </c>
      <c r="B2" t="s">
        <v>14</v>
      </c>
      <c r="C2" t="s">
        <v>15</v>
      </c>
      <c r="D2" t="s">
        <v>16</v>
      </c>
      <c r="E2" s="1">
        <v>45490</v>
      </c>
      <c r="F2" s="24">
        <f t="shared" ref="F2:F65" si="0">YEAR(E2)</f>
        <v>2024</v>
      </c>
      <c r="G2" s="24" t="str">
        <f>TEXT(E2,"mmmm")</f>
        <v>July</v>
      </c>
      <c r="H2" s="24" t="str">
        <f>TEXT(E2,"dddd")</f>
        <v>Wednesday</v>
      </c>
      <c r="I2" s="22">
        <v>0.46443287037037034</v>
      </c>
      <c r="J2" s="24">
        <f>HOUR(I2)</f>
        <v>11</v>
      </c>
      <c r="K2" s="24">
        <f>MINUTE(I2)</f>
        <v>8</v>
      </c>
      <c r="L2" s="24">
        <f>SECOND(I2)</f>
        <v>47</v>
      </c>
      <c r="M2" t="s">
        <v>17</v>
      </c>
      <c r="N2" t="s">
        <v>18</v>
      </c>
      <c r="O2" s="24">
        <v>15</v>
      </c>
      <c r="P2" s="11">
        <v>1095.25</v>
      </c>
      <c r="Q2" s="26">
        <f>VLOOKUP('Prepared Sales Dataset'!M2,'Product-cost'!A:B,2,FALSE)</f>
        <v>600</v>
      </c>
      <c r="R2" t="s">
        <v>55</v>
      </c>
      <c r="S2" t="s">
        <v>20</v>
      </c>
      <c r="T2" t="s">
        <v>21</v>
      </c>
      <c r="U2" t="s">
        <v>921</v>
      </c>
      <c r="V2" s="17">
        <f>P2*O2</f>
        <v>16428.75</v>
      </c>
      <c r="W2" s="19">
        <f>O2*Q2</f>
        <v>9000</v>
      </c>
      <c r="X2" s="13">
        <f>VLOOKUP(R2,Taxrate!A:B,2,FALSE)</f>
        <v>7.0000000000000007E-2</v>
      </c>
      <c r="Y2" s="15">
        <f>V2*X2</f>
        <v>1150.0125</v>
      </c>
      <c r="Z2" s="9">
        <f>VLOOKUP(M2,'Discount Rate'!A:B,2,FALSE)</f>
        <v>0.05</v>
      </c>
      <c r="AA2" s="11">
        <f>V2*Z2</f>
        <v>821.4375</v>
      </c>
      <c r="AB2" s="15">
        <f>V2-(Y2+AA2)</f>
        <v>14457.3</v>
      </c>
      <c r="AC2" s="15">
        <f>AB2-W2</f>
        <v>5457.2999999999993</v>
      </c>
    </row>
    <row r="3" spans="1:29" x14ac:dyDescent="0.35">
      <c r="A3" t="s">
        <v>22</v>
      </c>
      <c r="B3" t="s">
        <v>23</v>
      </c>
      <c r="C3" t="s">
        <v>24</v>
      </c>
      <c r="D3" t="s">
        <v>25</v>
      </c>
      <c r="E3" s="1">
        <v>46133</v>
      </c>
      <c r="F3" s="24">
        <f t="shared" si="0"/>
        <v>2026</v>
      </c>
      <c r="G3" s="24" t="str">
        <f t="shared" ref="G3:G66" si="1">TEXT(E3,"mmmm")</f>
        <v>April</v>
      </c>
      <c r="H3" s="24" t="str">
        <f t="shared" ref="H3:H66" si="2">TEXT(E3,"dddd")</f>
        <v>Tuesday</v>
      </c>
      <c r="I3" s="22">
        <v>0.87152777777777779</v>
      </c>
      <c r="J3" s="24">
        <f t="shared" ref="J3:J66" si="3">HOUR(I3)</f>
        <v>20</v>
      </c>
      <c r="K3" s="24">
        <f t="shared" ref="K3:K66" si="4">MINUTE(I3)</f>
        <v>55</v>
      </c>
      <c r="L3" s="24">
        <f t="shared" ref="L3:L66" si="5">SECOND(I3)</f>
        <v>0</v>
      </c>
      <c r="M3" t="s">
        <v>26</v>
      </c>
      <c r="N3" t="s">
        <v>27</v>
      </c>
      <c r="O3" s="24">
        <v>6</v>
      </c>
      <c r="P3" s="11">
        <v>544.59</v>
      </c>
      <c r="Q3" s="26">
        <f>VLOOKUP('Prepared Sales Dataset'!M3,'Product-cost'!A:B,2,FALSE)</f>
        <v>300</v>
      </c>
      <c r="R3" t="s">
        <v>28</v>
      </c>
      <c r="S3" t="s">
        <v>29</v>
      </c>
      <c r="T3" t="s">
        <v>30</v>
      </c>
      <c r="U3" t="s">
        <v>921</v>
      </c>
      <c r="V3" s="17">
        <f>P3*O3</f>
        <v>3267.54</v>
      </c>
      <c r="W3" s="19">
        <f>O3*Q3</f>
        <v>1800</v>
      </c>
      <c r="X3" s="13">
        <f>VLOOKUP(R3,Taxrate!A:B,2,FALSE)</f>
        <v>0.1</v>
      </c>
      <c r="Y3" s="15">
        <f t="shared" ref="Y3:Y66" si="6">V3*X3</f>
        <v>326.75400000000002</v>
      </c>
      <c r="Z3" s="9">
        <f>VLOOKUP(M3,'Discount Rate'!A:B,2,FALSE)</f>
        <v>0.1</v>
      </c>
      <c r="AA3" s="11">
        <f t="shared" ref="AA3:AA66" si="7">V3*Z3</f>
        <v>326.75400000000002</v>
      </c>
      <c r="AB3" s="15">
        <f t="shared" ref="AB3:AB66" si="8">V3-(Y3+AA3)</f>
        <v>2614.0320000000002</v>
      </c>
      <c r="AC3" s="15">
        <f t="shared" ref="AC3:AC66" si="9">AB3-W3</f>
        <v>814.03200000000015</v>
      </c>
    </row>
    <row r="4" spans="1:29" x14ac:dyDescent="0.35">
      <c r="A4" t="s">
        <v>31</v>
      </c>
      <c r="B4" t="s">
        <v>32</v>
      </c>
      <c r="C4" t="s">
        <v>15</v>
      </c>
      <c r="D4" t="s">
        <v>16</v>
      </c>
      <c r="E4" s="1">
        <v>45088</v>
      </c>
      <c r="F4" s="24">
        <f t="shared" si="0"/>
        <v>2023</v>
      </c>
      <c r="G4" s="24" t="str">
        <f t="shared" si="1"/>
        <v>June</v>
      </c>
      <c r="H4" s="24" t="str">
        <f t="shared" si="2"/>
        <v>Sunday</v>
      </c>
      <c r="I4" s="22">
        <v>0.90322916666666664</v>
      </c>
      <c r="J4" s="24">
        <f t="shared" si="3"/>
        <v>21</v>
      </c>
      <c r="K4" s="24">
        <f t="shared" si="4"/>
        <v>40</v>
      </c>
      <c r="L4" s="24">
        <f t="shared" si="5"/>
        <v>39</v>
      </c>
      <c r="M4" t="s">
        <v>33</v>
      </c>
      <c r="N4" t="s">
        <v>34</v>
      </c>
      <c r="O4" s="24">
        <v>12</v>
      </c>
      <c r="P4" s="11">
        <v>506</v>
      </c>
      <c r="Q4" s="26">
        <f>VLOOKUP('Prepared Sales Dataset'!M4,'Product-cost'!A:B,2,FALSE)</f>
        <v>200</v>
      </c>
      <c r="R4" t="s">
        <v>35</v>
      </c>
      <c r="S4" t="s">
        <v>36</v>
      </c>
      <c r="T4" t="s">
        <v>37</v>
      </c>
      <c r="U4" t="s">
        <v>921</v>
      </c>
      <c r="V4" s="17">
        <f>P4*O4</f>
        <v>6072</v>
      </c>
      <c r="W4" s="19">
        <f>O4*Q4</f>
        <v>2400</v>
      </c>
      <c r="X4" s="13">
        <f>VLOOKUP(R4,Taxrate!A:B,2,FALSE)</f>
        <v>0.2</v>
      </c>
      <c r="Y4" s="15">
        <f t="shared" si="6"/>
        <v>1214.4000000000001</v>
      </c>
      <c r="Z4" s="9">
        <f>VLOOKUP(M4,'Discount Rate'!A:B,2,FALSE)</f>
        <v>0.08</v>
      </c>
      <c r="AA4" s="11">
        <f t="shared" si="7"/>
        <v>485.76</v>
      </c>
      <c r="AB4" s="15">
        <f t="shared" si="8"/>
        <v>4371.84</v>
      </c>
      <c r="AC4" s="15">
        <f t="shared" si="9"/>
        <v>1971.8400000000001</v>
      </c>
    </row>
    <row r="5" spans="1:29" x14ac:dyDescent="0.35">
      <c r="A5" t="s">
        <v>38</v>
      </c>
      <c r="B5" t="s">
        <v>39</v>
      </c>
      <c r="C5" t="s">
        <v>40</v>
      </c>
      <c r="D5" t="s">
        <v>41</v>
      </c>
      <c r="E5" s="1">
        <v>45356</v>
      </c>
      <c r="F5" s="24">
        <f t="shared" si="0"/>
        <v>2024</v>
      </c>
      <c r="G5" s="24" t="str">
        <f t="shared" si="1"/>
        <v>March</v>
      </c>
      <c r="H5" s="24" t="str">
        <f t="shared" si="2"/>
        <v>Tuesday</v>
      </c>
      <c r="I5" s="22">
        <v>0.83313657407407404</v>
      </c>
      <c r="J5" s="24">
        <f t="shared" si="3"/>
        <v>19</v>
      </c>
      <c r="K5" s="24">
        <f t="shared" si="4"/>
        <v>59</v>
      </c>
      <c r="L5" s="24">
        <f t="shared" si="5"/>
        <v>43</v>
      </c>
      <c r="M5" t="s">
        <v>17</v>
      </c>
      <c r="N5" t="s">
        <v>18</v>
      </c>
      <c r="O5" s="24">
        <v>3</v>
      </c>
      <c r="P5" s="11">
        <v>922.41</v>
      </c>
      <c r="Q5" s="26">
        <f>VLOOKUP('Prepared Sales Dataset'!M5,'Product-cost'!A:B,2,FALSE)</f>
        <v>600</v>
      </c>
      <c r="R5" t="s">
        <v>42</v>
      </c>
      <c r="S5" t="s">
        <v>43</v>
      </c>
      <c r="T5" t="s">
        <v>44</v>
      </c>
      <c r="U5" t="s">
        <v>921</v>
      </c>
      <c r="V5" s="17">
        <f>P5*O5</f>
        <v>2767.23</v>
      </c>
      <c r="W5" s="19">
        <f>O5*Q5</f>
        <v>1800</v>
      </c>
      <c r="X5" s="13">
        <f>VLOOKUP(R5,Taxrate!A:B,2,FALSE)</f>
        <v>0.15</v>
      </c>
      <c r="Y5" s="15">
        <f t="shared" si="6"/>
        <v>415.08449999999999</v>
      </c>
      <c r="Z5" s="9">
        <f>VLOOKUP(M5,'Discount Rate'!A:B,2,FALSE)</f>
        <v>0.05</v>
      </c>
      <c r="AA5" s="11">
        <f t="shared" si="7"/>
        <v>138.36150000000001</v>
      </c>
      <c r="AB5" s="15">
        <f t="shared" si="8"/>
        <v>2213.7840000000001</v>
      </c>
      <c r="AC5" s="15">
        <f t="shared" si="9"/>
        <v>413.78400000000011</v>
      </c>
    </row>
    <row r="6" spans="1:29" x14ac:dyDescent="0.35">
      <c r="A6" t="s">
        <v>45</v>
      </c>
      <c r="B6" t="s">
        <v>46</v>
      </c>
      <c r="C6" t="s">
        <v>47</v>
      </c>
      <c r="D6" t="s">
        <v>48</v>
      </c>
      <c r="E6" s="1">
        <v>45748</v>
      </c>
      <c r="F6" s="24">
        <f t="shared" si="0"/>
        <v>2025</v>
      </c>
      <c r="G6" s="24" t="str">
        <f t="shared" si="1"/>
        <v>April</v>
      </c>
      <c r="H6" s="24" t="str">
        <f t="shared" si="2"/>
        <v>Tuesday</v>
      </c>
      <c r="I6" s="22">
        <v>0.38469907407407405</v>
      </c>
      <c r="J6" s="24">
        <f t="shared" si="3"/>
        <v>9</v>
      </c>
      <c r="K6" s="24">
        <f t="shared" si="4"/>
        <v>13</v>
      </c>
      <c r="L6" s="24">
        <f t="shared" si="5"/>
        <v>58</v>
      </c>
      <c r="M6" t="s">
        <v>49</v>
      </c>
      <c r="N6" t="s">
        <v>50</v>
      </c>
      <c r="O6" s="24">
        <v>6</v>
      </c>
      <c r="P6" s="11">
        <v>230.92</v>
      </c>
      <c r="Q6" s="26">
        <f>VLOOKUP('Prepared Sales Dataset'!M6,'Product-cost'!A:B,2,FALSE)</f>
        <v>150</v>
      </c>
      <c r="R6" t="s">
        <v>42</v>
      </c>
      <c r="S6" t="s">
        <v>51</v>
      </c>
      <c r="T6" t="s">
        <v>166</v>
      </c>
      <c r="U6" t="s">
        <v>921</v>
      </c>
      <c r="V6" s="17">
        <f>P6*O6</f>
        <v>1385.52</v>
      </c>
      <c r="W6" s="19">
        <f>O6*Q6</f>
        <v>900</v>
      </c>
      <c r="X6" s="13">
        <f>VLOOKUP(R6,Taxrate!A:B,2,FALSE)</f>
        <v>0.15</v>
      </c>
      <c r="Y6" s="15">
        <f t="shared" si="6"/>
        <v>207.828</v>
      </c>
      <c r="Z6" s="9">
        <f>VLOOKUP(M6,'Discount Rate'!A:B,2,FALSE)</f>
        <v>7.0000000000000007E-2</v>
      </c>
      <c r="AA6" s="11">
        <f t="shared" si="7"/>
        <v>96.986400000000003</v>
      </c>
      <c r="AB6" s="15">
        <f t="shared" si="8"/>
        <v>1080.7056</v>
      </c>
      <c r="AC6" s="15">
        <f t="shared" si="9"/>
        <v>180.7056</v>
      </c>
    </row>
    <row r="7" spans="1:29" x14ac:dyDescent="0.35">
      <c r="A7" t="s">
        <v>52</v>
      </c>
      <c r="B7" t="s">
        <v>53</v>
      </c>
      <c r="C7" t="s">
        <v>24</v>
      </c>
      <c r="D7" t="s">
        <v>25</v>
      </c>
      <c r="E7" s="1">
        <v>45970</v>
      </c>
      <c r="F7" s="24">
        <f t="shared" si="0"/>
        <v>2025</v>
      </c>
      <c r="G7" s="24" t="str">
        <f t="shared" si="1"/>
        <v>November</v>
      </c>
      <c r="H7" s="24" t="str">
        <f t="shared" si="2"/>
        <v>Sunday</v>
      </c>
      <c r="I7" s="22">
        <v>0.40836805555555555</v>
      </c>
      <c r="J7" s="24">
        <f t="shared" si="3"/>
        <v>9</v>
      </c>
      <c r="K7" s="24">
        <f t="shared" si="4"/>
        <v>48</v>
      </c>
      <c r="L7" s="24">
        <f t="shared" si="5"/>
        <v>3</v>
      </c>
      <c r="M7" t="s">
        <v>17</v>
      </c>
      <c r="N7" t="s">
        <v>18</v>
      </c>
      <c r="O7" s="24">
        <v>3</v>
      </c>
      <c r="P7" s="11">
        <v>1011.08</v>
      </c>
      <c r="Q7" s="26">
        <f>VLOOKUP('Prepared Sales Dataset'!M7,'Product-cost'!A:B,2,FALSE)</f>
        <v>600</v>
      </c>
      <c r="R7" t="s">
        <v>55</v>
      </c>
      <c r="S7" t="s">
        <v>56</v>
      </c>
      <c r="U7" t="s">
        <v>923</v>
      </c>
      <c r="V7" s="17">
        <f>P7*O7</f>
        <v>3033.2400000000002</v>
      </c>
      <c r="W7" s="19">
        <f>O7*Q7</f>
        <v>1800</v>
      </c>
      <c r="X7" s="13">
        <f>VLOOKUP(R7,Taxrate!A:B,2,FALSE)</f>
        <v>7.0000000000000007E-2</v>
      </c>
      <c r="Y7" s="15">
        <f t="shared" si="6"/>
        <v>212.32680000000005</v>
      </c>
      <c r="Z7" s="9">
        <f>VLOOKUP(M7,'Discount Rate'!A:B,2,FALSE)</f>
        <v>0.05</v>
      </c>
      <c r="AA7" s="11">
        <f t="shared" si="7"/>
        <v>151.66200000000001</v>
      </c>
      <c r="AB7" s="15">
        <f t="shared" si="8"/>
        <v>2669.2512000000002</v>
      </c>
      <c r="AC7" s="15">
        <f t="shared" si="9"/>
        <v>869.25120000000015</v>
      </c>
    </row>
    <row r="8" spans="1:29" x14ac:dyDescent="0.35">
      <c r="A8" t="s">
        <v>57</v>
      </c>
      <c r="B8" t="s">
        <v>58</v>
      </c>
      <c r="C8" t="s">
        <v>15</v>
      </c>
      <c r="D8" t="s">
        <v>16</v>
      </c>
      <c r="E8" s="1">
        <v>46239</v>
      </c>
      <c r="F8" s="24">
        <f t="shared" si="0"/>
        <v>2026</v>
      </c>
      <c r="G8" s="24" t="str">
        <f t="shared" si="1"/>
        <v>August</v>
      </c>
      <c r="H8" s="24" t="str">
        <f t="shared" si="2"/>
        <v>Wednesday</v>
      </c>
      <c r="I8" s="22">
        <v>0.3878125</v>
      </c>
      <c r="J8" s="24">
        <f t="shared" si="3"/>
        <v>9</v>
      </c>
      <c r="K8" s="24">
        <f t="shared" si="4"/>
        <v>18</v>
      </c>
      <c r="L8" s="24">
        <f t="shared" si="5"/>
        <v>27</v>
      </c>
      <c r="M8" t="s">
        <v>26</v>
      </c>
      <c r="N8" t="s">
        <v>27</v>
      </c>
      <c r="O8" s="24">
        <v>12</v>
      </c>
      <c r="P8" s="11">
        <v>559.02</v>
      </c>
      <c r="Q8" s="26">
        <f>VLOOKUP('Prepared Sales Dataset'!M8,'Product-cost'!A:B,2,FALSE)</f>
        <v>300</v>
      </c>
      <c r="R8" t="s">
        <v>59</v>
      </c>
      <c r="S8" t="s">
        <v>36</v>
      </c>
      <c r="U8" t="s">
        <v>923</v>
      </c>
      <c r="V8" s="17">
        <f>P8*O8</f>
        <v>6708.24</v>
      </c>
      <c r="W8" s="19">
        <f>O8*Q8</f>
        <v>3600</v>
      </c>
      <c r="X8" s="13">
        <f>VLOOKUP(R8,Taxrate!A:B,2,FALSE)</f>
        <v>0.12</v>
      </c>
      <c r="Y8" s="15">
        <f t="shared" si="6"/>
        <v>804.98879999999997</v>
      </c>
      <c r="Z8" s="9">
        <f>VLOOKUP(M8,'Discount Rate'!A:B,2,FALSE)</f>
        <v>0.1</v>
      </c>
      <c r="AA8" s="11">
        <f t="shared" si="7"/>
        <v>670.82400000000007</v>
      </c>
      <c r="AB8" s="15">
        <f t="shared" si="8"/>
        <v>5232.4272000000001</v>
      </c>
      <c r="AC8" s="15">
        <f t="shared" si="9"/>
        <v>1632.4272000000001</v>
      </c>
    </row>
    <row r="9" spans="1:29" x14ac:dyDescent="0.35">
      <c r="A9" t="s">
        <v>60</v>
      </c>
      <c r="B9" t="s">
        <v>61</v>
      </c>
      <c r="C9" t="s">
        <v>62</v>
      </c>
      <c r="D9" t="s">
        <v>63</v>
      </c>
      <c r="E9" s="1">
        <v>46013</v>
      </c>
      <c r="F9" s="24">
        <f t="shared" si="0"/>
        <v>2025</v>
      </c>
      <c r="G9" s="24" t="str">
        <f t="shared" si="1"/>
        <v>December</v>
      </c>
      <c r="H9" s="24" t="str">
        <f t="shared" si="2"/>
        <v>Monday</v>
      </c>
      <c r="I9" s="22">
        <v>0.72258101851851853</v>
      </c>
      <c r="J9" s="24">
        <f t="shared" si="3"/>
        <v>17</v>
      </c>
      <c r="K9" s="24">
        <f t="shared" si="4"/>
        <v>20</v>
      </c>
      <c r="L9" s="24">
        <f t="shared" si="5"/>
        <v>31</v>
      </c>
      <c r="M9" t="s">
        <v>17</v>
      </c>
      <c r="N9" t="s">
        <v>18</v>
      </c>
      <c r="O9" s="24">
        <v>6</v>
      </c>
      <c r="P9" s="11">
        <v>1215.83</v>
      </c>
      <c r="Q9" s="26">
        <f>VLOOKUP('Prepared Sales Dataset'!M9,'Product-cost'!A:B,2,FALSE)</f>
        <v>600</v>
      </c>
      <c r="R9" t="s">
        <v>28</v>
      </c>
      <c r="S9" t="s">
        <v>64</v>
      </c>
      <c r="U9" t="s">
        <v>923</v>
      </c>
      <c r="V9" s="17">
        <f>P9*O9</f>
        <v>7294.98</v>
      </c>
      <c r="W9" s="19">
        <f>O9*Q9</f>
        <v>3600</v>
      </c>
      <c r="X9" s="13">
        <f>VLOOKUP(R9,Taxrate!A:B,2,FALSE)</f>
        <v>0.1</v>
      </c>
      <c r="Y9" s="15">
        <f t="shared" si="6"/>
        <v>729.49800000000005</v>
      </c>
      <c r="Z9" s="9">
        <f>VLOOKUP(M9,'Discount Rate'!A:B,2,FALSE)</f>
        <v>0.05</v>
      </c>
      <c r="AA9" s="11">
        <f t="shared" si="7"/>
        <v>364.74900000000002</v>
      </c>
      <c r="AB9" s="15">
        <f t="shared" si="8"/>
        <v>6200.7329999999993</v>
      </c>
      <c r="AC9" s="15">
        <f t="shared" si="9"/>
        <v>2600.7329999999993</v>
      </c>
    </row>
    <row r="10" spans="1:29" x14ac:dyDescent="0.35">
      <c r="A10" t="s">
        <v>65</v>
      </c>
      <c r="B10" t="s">
        <v>66</v>
      </c>
      <c r="C10" t="s">
        <v>67</v>
      </c>
      <c r="D10" t="s">
        <v>16</v>
      </c>
      <c r="E10" s="1">
        <v>45189</v>
      </c>
      <c r="F10" s="24">
        <f t="shared" si="0"/>
        <v>2023</v>
      </c>
      <c r="G10" s="24" t="str">
        <f t="shared" si="1"/>
        <v>September</v>
      </c>
      <c r="H10" s="24" t="str">
        <f t="shared" si="2"/>
        <v>Wednesday</v>
      </c>
      <c r="I10" s="22">
        <v>0.67379629629629634</v>
      </c>
      <c r="J10" s="24">
        <f t="shared" si="3"/>
        <v>16</v>
      </c>
      <c r="K10" s="24">
        <f t="shared" si="4"/>
        <v>10</v>
      </c>
      <c r="L10" s="24">
        <f t="shared" si="5"/>
        <v>16</v>
      </c>
      <c r="M10" t="s">
        <v>49</v>
      </c>
      <c r="N10" t="s">
        <v>50</v>
      </c>
      <c r="O10" s="24">
        <v>7</v>
      </c>
      <c r="P10" s="11">
        <v>278.18</v>
      </c>
      <c r="Q10" s="26">
        <f>VLOOKUP('Prepared Sales Dataset'!M10,'Product-cost'!A:B,2,FALSE)</f>
        <v>150</v>
      </c>
      <c r="R10" t="s">
        <v>35</v>
      </c>
      <c r="S10" t="s">
        <v>36</v>
      </c>
      <c r="T10" t="s">
        <v>30</v>
      </c>
      <c r="U10" t="s">
        <v>921</v>
      </c>
      <c r="V10" s="17">
        <f>P10*O10</f>
        <v>1947.26</v>
      </c>
      <c r="W10" s="19">
        <f>O10*Q10</f>
        <v>1050</v>
      </c>
      <c r="X10" s="13">
        <f>VLOOKUP(R10,Taxrate!A:B,2,FALSE)</f>
        <v>0.2</v>
      </c>
      <c r="Y10" s="15">
        <f t="shared" si="6"/>
        <v>389.452</v>
      </c>
      <c r="Z10" s="9">
        <f>VLOOKUP(M10,'Discount Rate'!A:B,2,FALSE)</f>
        <v>7.0000000000000007E-2</v>
      </c>
      <c r="AA10" s="11">
        <f t="shared" si="7"/>
        <v>136.3082</v>
      </c>
      <c r="AB10" s="15">
        <f t="shared" si="8"/>
        <v>1421.4998000000001</v>
      </c>
      <c r="AC10" s="15">
        <f t="shared" si="9"/>
        <v>371.49980000000005</v>
      </c>
    </row>
    <row r="11" spans="1:29" x14ac:dyDescent="0.35">
      <c r="A11" t="s">
        <v>68</v>
      </c>
      <c r="B11" t="s">
        <v>69</v>
      </c>
      <c r="C11" t="s">
        <v>70</v>
      </c>
      <c r="D11" t="s">
        <v>71</v>
      </c>
      <c r="E11" s="1">
        <v>44970</v>
      </c>
      <c r="F11" s="24">
        <f t="shared" si="0"/>
        <v>2023</v>
      </c>
      <c r="G11" s="24" t="str">
        <f t="shared" si="1"/>
        <v>February</v>
      </c>
      <c r="H11" s="24" t="str">
        <f t="shared" si="2"/>
        <v>Monday</v>
      </c>
      <c r="I11" s="22">
        <v>0.71805555555555556</v>
      </c>
      <c r="J11" s="24">
        <f t="shared" si="3"/>
        <v>17</v>
      </c>
      <c r="K11" s="24">
        <f t="shared" si="4"/>
        <v>14</v>
      </c>
      <c r="L11" s="24">
        <f t="shared" si="5"/>
        <v>0</v>
      </c>
      <c r="M11" t="s">
        <v>17</v>
      </c>
      <c r="N11" t="s">
        <v>18</v>
      </c>
      <c r="O11" s="24">
        <v>1</v>
      </c>
      <c r="P11" s="11">
        <v>1252.71</v>
      </c>
      <c r="Q11" s="26">
        <f>VLOOKUP('Prepared Sales Dataset'!M11,'Product-cost'!A:B,2,FALSE)</f>
        <v>600</v>
      </c>
      <c r="R11" t="s">
        <v>28</v>
      </c>
      <c r="S11" t="s">
        <v>73</v>
      </c>
      <c r="T11" t="s">
        <v>74</v>
      </c>
      <c r="U11" t="s">
        <v>922</v>
      </c>
      <c r="V11" s="17">
        <f>P11*O11</f>
        <v>1252.71</v>
      </c>
      <c r="W11" s="19">
        <f>O11*Q11</f>
        <v>600</v>
      </c>
      <c r="X11" s="13">
        <f>VLOOKUP(R11,Taxrate!A:B,2,FALSE)</f>
        <v>0.1</v>
      </c>
      <c r="Y11" s="15">
        <f t="shared" si="6"/>
        <v>125.27100000000002</v>
      </c>
      <c r="Z11" s="9">
        <f>VLOOKUP(M11,'Discount Rate'!A:B,2,FALSE)</f>
        <v>0.05</v>
      </c>
      <c r="AA11" s="11">
        <f t="shared" si="7"/>
        <v>62.635500000000008</v>
      </c>
      <c r="AB11" s="15">
        <f t="shared" si="8"/>
        <v>1064.8035</v>
      </c>
      <c r="AC11" s="15">
        <f t="shared" si="9"/>
        <v>464.80349999999999</v>
      </c>
    </row>
    <row r="12" spans="1:29" x14ac:dyDescent="0.35">
      <c r="A12" t="s">
        <v>75</v>
      </c>
      <c r="B12" t="s">
        <v>76</v>
      </c>
      <c r="C12" t="s">
        <v>77</v>
      </c>
      <c r="D12" t="s">
        <v>63</v>
      </c>
      <c r="E12" s="1">
        <v>45895</v>
      </c>
      <c r="F12" s="24">
        <f t="shared" si="0"/>
        <v>2025</v>
      </c>
      <c r="G12" s="24" t="str">
        <f t="shared" si="1"/>
        <v>August</v>
      </c>
      <c r="H12" s="24" t="str">
        <f t="shared" si="2"/>
        <v>Tuesday</v>
      </c>
      <c r="I12" s="22">
        <v>0.46256944444444442</v>
      </c>
      <c r="J12" s="24">
        <f t="shared" si="3"/>
        <v>11</v>
      </c>
      <c r="K12" s="24">
        <f t="shared" si="4"/>
        <v>6</v>
      </c>
      <c r="L12" s="24">
        <f t="shared" si="5"/>
        <v>6</v>
      </c>
      <c r="M12" t="s">
        <v>78</v>
      </c>
      <c r="N12" t="s">
        <v>79</v>
      </c>
      <c r="O12" s="24">
        <v>7</v>
      </c>
      <c r="P12" s="11">
        <v>174.68</v>
      </c>
      <c r="Q12" s="26">
        <f>VLOOKUP('Prepared Sales Dataset'!M12,'Product-cost'!A:B,2,FALSE)</f>
        <v>50</v>
      </c>
      <c r="R12" t="s">
        <v>55</v>
      </c>
      <c r="S12" t="s">
        <v>80</v>
      </c>
      <c r="T12" t="s">
        <v>37</v>
      </c>
      <c r="U12" t="s">
        <v>921</v>
      </c>
      <c r="V12" s="17">
        <f>P12*O12</f>
        <v>1222.76</v>
      </c>
      <c r="W12" s="19">
        <f>O12*Q12</f>
        <v>350</v>
      </c>
      <c r="X12" s="13">
        <f>VLOOKUP(R12,Taxrate!A:B,2,FALSE)</f>
        <v>7.0000000000000007E-2</v>
      </c>
      <c r="Y12" s="15">
        <f t="shared" si="6"/>
        <v>85.59320000000001</v>
      </c>
      <c r="Z12" s="9">
        <f>VLOOKUP(M12,'Discount Rate'!A:B,2,FALSE)</f>
        <v>0.03</v>
      </c>
      <c r="AA12" s="11">
        <f t="shared" si="7"/>
        <v>36.6828</v>
      </c>
      <c r="AB12" s="15">
        <f t="shared" si="8"/>
        <v>1100.4839999999999</v>
      </c>
      <c r="AC12" s="15">
        <f t="shared" si="9"/>
        <v>750.48399999999992</v>
      </c>
    </row>
    <row r="13" spans="1:29" x14ac:dyDescent="0.35">
      <c r="A13" t="s">
        <v>81</v>
      </c>
      <c r="B13" t="s">
        <v>82</v>
      </c>
      <c r="C13" t="s">
        <v>62</v>
      </c>
      <c r="D13" t="s">
        <v>63</v>
      </c>
      <c r="E13" s="1">
        <v>45874</v>
      </c>
      <c r="F13" s="24">
        <f t="shared" si="0"/>
        <v>2025</v>
      </c>
      <c r="G13" s="24" t="str">
        <f t="shared" si="1"/>
        <v>August</v>
      </c>
      <c r="H13" s="24" t="str">
        <f t="shared" si="2"/>
        <v>Tuesday</v>
      </c>
      <c r="I13" s="22">
        <v>0.91601851851851857</v>
      </c>
      <c r="J13" s="24">
        <f t="shared" si="3"/>
        <v>21</v>
      </c>
      <c r="K13" s="24">
        <f t="shared" si="4"/>
        <v>59</v>
      </c>
      <c r="L13" s="24">
        <f t="shared" si="5"/>
        <v>4</v>
      </c>
      <c r="M13" t="s">
        <v>78</v>
      </c>
      <c r="N13" t="s">
        <v>79</v>
      </c>
      <c r="O13" s="24">
        <v>14</v>
      </c>
      <c r="P13" s="11">
        <v>123.79</v>
      </c>
      <c r="Q13" s="26">
        <f>VLOOKUP('Prepared Sales Dataset'!M13,'Product-cost'!A:B,2,FALSE)</f>
        <v>50</v>
      </c>
      <c r="R13" t="s">
        <v>59</v>
      </c>
      <c r="S13" t="s">
        <v>80</v>
      </c>
      <c r="T13" t="s">
        <v>44</v>
      </c>
      <c r="U13" t="s">
        <v>921</v>
      </c>
      <c r="V13" s="17">
        <f>P13*O13</f>
        <v>1733.0600000000002</v>
      </c>
      <c r="W13" s="19">
        <f>O13*Q13</f>
        <v>700</v>
      </c>
      <c r="X13" s="13">
        <f>VLOOKUP(R13,Taxrate!A:B,2,FALSE)</f>
        <v>0.12</v>
      </c>
      <c r="Y13" s="15">
        <f t="shared" si="6"/>
        <v>207.96720000000002</v>
      </c>
      <c r="Z13" s="9">
        <f>VLOOKUP(M13,'Discount Rate'!A:B,2,FALSE)</f>
        <v>0.03</v>
      </c>
      <c r="AA13" s="11">
        <f t="shared" si="7"/>
        <v>51.991800000000005</v>
      </c>
      <c r="AB13" s="15">
        <f t="shared" si="8"/>
        <v>1473.1010000000001</v>
      </c>
      <c r="AC13" s="15">
        <f t="shared" si="9"/>
        <v>773.10100000000011</v>
      </c>
    </row>
    <row r="14" spans="1:29" x14ac:dyDescent="0.35">
      <c r="A14" t="s">
        <v>83</v>
      </c>
      <c r="B14" t="s">
        <v>84</v>
      </c>
      <c r="C14" t="s">
        <v>47</v>
      </c>
      <c r="D14" t="s">
        <v>48</v>
      </c>
      <c r="E14" s="1">
        <v>45703</v>
      </c>
      <c r="F14" s="24">
        <f t="shared" si="0"/>
        <v>2025</v>
      </c>
      <c r="G14" s="24" t="str">
        <f t="shared" si="1"/>
        <v>February</v>
      </c>
      <c r="H14" s="24" t="str">
        <f t="shared" si="2"/>
        <v>Saturday</v>
      </c>
      <c r="I14" s="22">
        <v>0.59512731481481485</v>
      </c>
      <c r="J14" s="24">
        <f t="shared" si="3"/>
        <v>14</v>
      </c>
      <c r="K14" s="24">
        <f t="shared" si="4"/>
        <v>16</v>
      </c>
      <c r="L14" s="24">
        <f t="shared" si="5"/>
        <v>59</v>
      </c>
      <c r="M14" t="s">
        <v>78</v>
      </c>
      <c r="N14" t="s">
        <v>79</v>
      </c>
      <c r="O14" s="24">
        <v>12</v>
      </c>
      <c r="P14" s="11">
        <v>194.66</v>
      </c>
      <c r="Q14" s="26">
        <f>VLOOKUP('Prepared Sales Dataset'!M14,'Product-cost'!A:B,2,FALSE)</f>
        <v>50</v>
      </c>
      <c r="R14" t="s">
        <v>59</v>
      </c>
      <c r="S14" t="s">
        <v>85</v>
      </c>
      <c r="T14" t="s">
        <v>74</v>
      </c>
      <c r="U14" t="s">
        <v>922</v>
      </c>
      <c r="V14" s="17">
        <f>P14*O14</f>
        <v>2335.92</v>
      </c>
      <c r="W14" s="19">
        <f>O14*Q14</f>
        <v>600</v>
      </c>
      <c r="X14" s="13">
        <f>VLOOKUP(R14,Taxrate!A:B,2,FALSE)</f>
        <v>0.12</v>
      </c>
      <c r="Y14" s="15">
        <f t="shared" si="6"/>
        <v>280.31040000000002</v>
      </c>
      <c r="Z14" s="9">
        <f>VLOOKUP(M14,'Discount Rate'!A:B,2,FALSE)</f>
        <v>0.03</v>
      </c>
      <c r="AA14" s="11">
        <f t="shared" si="7"/>
        <v>70.077600000000004</v>
      </c>
      <c r="AB14" s="15">
        <f t="shared" si="8"/>
        <v>1985.5320000000002</v>
      </c>
      <c r="AC14" s="15">
        <f t="shared" si="9"/>
        <v>1385.5320000000002</v>
      </c>
    </row>
    <row r="15" spans="1:29" x14ac:dyDescent="0.35">
      <c r="A15" t="s">
        <v>86</v>
      </c>
      <c r="B15" t="s">
        <v>87</v>
      </c>
      <c r="C15" t="s">
        <v>88</v>
      </c>
      <c r="D15" t="s">
        <v>41</v>
      </c>
      <c r="E15" s="1">
        <v>45029</v>
      </c>
      <c r="F15" s="24">
        <f t="shared" si="0"/>
        <v>2023</v>
      </c>
      <c r="G15" s="24" t="str">
        <f t="shared" si="1"/>
        <v>April</v>
      </c>
      <c r="H15" s="24" t="str">
        <f t="shared" si="2"/>
        <v>Thursday</v>
      </c>
      <c r="I15" s="22">
        <v>0.70756944444444447</v>
      </c>
      <c r="J15" s="24">
        <f t="shared" si="3"/>
        <v>16</v>
      </c>
      <c r="K15" s="24">
        <f t="shared" si="4"/>
        <v>58</v>
      </c>
      <c r="L15" s="24">
        <f t="shared" si="5"/>
        <v>54</v>
      </c>
      <c r="M15" t="s">
        <v>49</v>
      </c>
      <c r="N15" t="s">
        <v>50</v>
      </c>
      <c r="O15" s="24">
        <v>9</v>
      </c>
      <c r="P15" s="11">
        <v>506</v>
      </c>
      <c r="Q15" s="26">
        <f>VLOOKUP('Prepared Sales Dataset'!M15,'Product-cost'!A:B,2,FALSE)</f>
        <v>150</v>
      </c>
      <c r="R15" t="s">
        <v>35</v>
      </c>
      <c r="S15" t="s">
        <v>90</v>
      </c>
      <c r="U15" t="s">
        <v>923</v>
      </c>
      <c r="V15" s="17">
        <f>P15*O15</f>
        <v>4554</v>
      </c>
      <c r="W15" s="19">
        <f>O15*Q15</f>
        <v>1350</v>
      </c>
      <c r="X15" s="13">
        <f>VLOOKUP(R15,Taxrate!A:B,2,FALSE)</f>
        <v>0.2</v>
      </c>
      <c r="Y15" s="15">
        <f t="shared" si="6"/>
        <v>910.80000000000007</v>
      </c>
      <c r="Z15" s="9">
        <f>VLOOKUP(M15,'Discount Rate'!A:B,2,FALSE)</f>
        <v>7.0000000000000007E-2</v>
      </c>
      <c r="AA15" s="11">
        <f t="shared" si="7"/>
        <v>318.78000000000003</v>
      </c>
      <c r="AB15" s="15">
        <f t="shared" si="8"/>
        <v>3324.42</v>
      </c>
      <c r="AC15" s="15">
        <f t="shared" si="9"/>
        <v>1974.42</v>
      </c>
    </row>
    <row r="16" spans="1:29" x14ac:dyDescent="0.35">
      <c r="A16" t="s">
        <v>91</v>
      </c>
      <c r="B16" t="s">
        <v>92</v>
      </c>
      <c r="C16" t="s">
        <v>47</v>
      </c>
      <c r="D16" t="s">
        <v>48</v>
      </c>
      <c r="E16" s="1">
        <v>45094</v>
      </c>
      <c r="F16" s="24">
        <f t="shared" si="0"/>
        <v>2023</v>
      </c>
      <c r="G16" s="24" t="str">
        <f t="shared" si="1"/>
        <v>June</v>
      </c>
      <c r="H16" s="24" t="str">
        <f t="shared" si="2"/>
        <v>Saturday</v>
      </c>
      <c r="I16" s="22">
        <v>0.77611111111111108</v>
      </c>
      <c r="J16" s="24">
        <f t="shared" si="3"/>
        <v>18</v>
      </c>
      <c r="K16" s="24">
        <f t="shared" si="4"/>
        <v>37</v>
      </c>
      <c r="L16" s="24">
        <f t="shared" si="5"/>
        <v>36</v>
      </c>
      <c r="M16" t="s">
        <v>49</v>
      </c>
      <c r="N16" t="s">
        <v>50</v>
      </c>
      <c r="O16" s="24">
        <v>5</v>
      </c>
      <c r="P16" s="11">
        <v>254.78</v>
      </c>
      <c r="Q16" s="26">
        <f>VLOOKUP('Prepared Sales Dataset'!M16,'Product-cost'!A:B,2,FALSE)</f>
        <v>150</v>
      </c>
      <c r="R16" t="s">
        <v>35</v>
      </c>
      <c r="S16" t="s">
        <v>94</v>
      </c>
      <c r="T16" t="s">
        <v>95</v>
      </c>
      <c r="U16" t="s">
        <v>921</v>
      </c>
      <c r="V16" s="17">
        <f>P16*O16</f>
        <v>1273.9000000000001</v>
      </c>
      <c r="W16" s="19">
        <f>O16*Q16</f>
        <v>750</v>
      </c>
      <c r="X16" s="13">
        <f>VLOOKUP(R16,Taxrate!A:B,2,FALSE)</f>
        <v>0.2</v>
      </c>
      <c r="Y16" s="15">
        <f t="shared" si="6"/>
        <v>254.78000000000003</v>
      </c>
      <c r="Z16" s="9">
        <f>VLOOKUP(M16,'Discount Rate'!A:B,2,FALSE)</f>
        <v>7.0000000000000007E-2</v>
      </c>
      <c r="AA16" s="11">
        <f t="shared" si="7"/>
        <v>89.173000000000016</v>
      </c>
      <c r="AB16" s="15">
        <f t="shared" si="8"/>
        <v>929.94700000000012</v>
      </c>
      <c r="AC16" s="15">
        <f t="shared" si="9"/>
        <v>179.94700000000012</v>
      </c>
    </row>
    <row r="17" spans="1:29" x14ac:dyDescent="0.35">
      <c r="A17" t="s">
        <v>96</v>
      </c>
      <c r="B17" t="s">
        <v>97</v>
      </c>
      <c r="C17" t="s">
        <v>98</v>
      </c>
      <c r="D17" t="s">
        <v>99</v>
      </c>
      <c r="E17" s="1">
        <v>45131</v>
      </c>
      <c r="F17" s="24">
        <f t="shared" si="0"/>
        <v>2023</v>
      </c>
      <c r="G17" s="24" t="str">
        <f t="shared" si="1"/>
        <v>July</v>
      </c>
      <c r="H17" s="24" t="str">
        <f t="shared" si="2"/>
        <v>Monday</v>
      </c>
      <c r="I17" s="22">
        <v>0.67606481481481484</v>
      </c>
      <c r="J17" s="24">
        <f t="shared" si="3"/>
        <v>16</v>
      </c>
      <c r="K17" s="24">
        <f t="shared" si="4"/>
        <v>13</v>
      </c>
      <c r="L17" s="24">
        <f t="shared" si="5"/>
        <v>32</v>
      </c>
      <c r="M17" t="s">
        <v>33</v>
      </c>
      <c r="N17" t="s">
        <v>34</v>
      </c>
      <c r="O17" s="24">
        <v>6</v>
      </c>
      <c r="P17" s="11">
        <v>495.85</v>
      </c>
      <c r="Q17" s="26">
        <f>VLOOKUP('Prepared Sales Dataset'!M17,'Product-cost'!A:B,2,FALSE)</f>
        <v>200</v>
      </c>
      <c r="R17" t="s">
        <v>28</v>
      </c>
      <c r="S17" t="s">
        <v>100</v>
      </c>
      <c r="U17" t="s">
        <v>923</v>
      </c>
      <c r="V17" s="17">
        <f>P17*O17</f>
        <v>2975.1000000000004</v>
      </c>
      <c r="W17" s="19">
        <f>O17*Q17</f>
        <v>1200</v>
      </c>
      <c r="X17" s="13">
        <f>VLOOKUP(R17,Taxrate!A:B,2,FALSE)</f>
        <v>0.1</v>
      </c>
      <c r="Y17" s="15">
        <f t="shared" si="6"/>
        <v>297.51000000000005</v>
      </c>
      <c r="Z17" s="9">
        <f>VLOOKUP(M17,'Discount Rate'!A:B,2,FALSE)</f>
        <v>0.08</v>
      </c>
      <c r="AA17" s="11">
        <f t="shared" si="7"/>
        <v>238.00800000000004</v>
      </c>
      <c r="AB17" s="15">
        <f t="shared" si="8"/>
        <v>2439.5820000000003</v>
      </c>
      <c r="AC17" s="15">
        <f t="shared" si="9"/>
        <v>1239.5820000000003</v>
      </c>
    </row>
    <row r="18" spans="1:29" x14ac:dyDescent="0.35">
      <c r="A18" t="s">
        <v>101</v>
      </c>
      <c r="B18" t="s">
        <v>102</v>
      </c>
      <c r="C18" t="s">
        <v>67</v>
      </c>
      <c r="D18" t="s">
        <v>16</v>
      </c>
      <c r="E18" s="1">
        <v>46285</v>
      </c>
      <c r="F18" s="24">
        <f t="shared" si="0"/>
        <v>2026</v>
      </c>
      <c r="G18" s="24" t="str">
        <f t="shared" si="1"/>
        <v>September</v>
      </c>
      <c r="H18" s="24" t="str">
        <f t="shared" si="2"/>
        <v>Sunday</v>
      </c>
      <c r="I18" s="22">
        <v>0.42785879629629631</v>
      </c>
      <c r="J18" s="24">
        <f t="shared" si="3"/>
        <v>10</v>
      </c>
      <c r="K18" s="24">
        <f t="shared" si="4"/>
        <v>16</v>
      </c>
      <c r="L18" s="24">
        <f t="shared" si="5"/>
        <v>7</v>
      </c>
      <c r="M18" t="s">
        <v>17</v>
      </c>
      <c r="N18" t="s">
        <v>18</v>
      </c>
      <c r="O18" s="24">
        <v>3</v>
      </c>
      <c r="P18" s="11">
        <v>1102.4100000000001</v>
      </c>
      <c r="Q18" s="26">
        <f>VLOOKUP('Prepared Sales Dataset'!M18,'Product-cost'!A:B,2,FALSE)</f>
        <v>600</v>
      </c>
      <c r="R18" t="s">
        <v>28</v>
      </c>
      <c r="S18" t="s">
        <v>20</v>
      </c>
      <c r="T18" t="s">
        <v>103</v>
      </c>
      <c r="U18" t="s">
        <v>921</v>
      </c>
      <c r="V18" s="17">
        <f>P18*O18</f>
        <v>3307.2300000000005</v>
      </c>
      <c r="W18" s="19">
        <f>O18*Q18</f>
        <v>1800</v>
      </c>
      <c r="X18" s="13">
        <f>VLOOKUP(R18,Taxrate!A:B,2,FALSE)</f>
        <v>0.1</v>
      </c>
      <c r="Y18" s="15">
        <f t="shared" si="6"/>
        <v>330.72300000000007</v>
      </c>
      <c r="Z18" s="9">
        <f>VLOOKUP(M18,'Discount Rate'!A:B,2,FALSE)</f>
        <v>0.05</v>
      </c>
      <c r="AA18" s="11">
        <f t="shared" si="7"/>
        <v>165.36150000000004</v>
      </c>
      <c r="AB18" s="15">
        <f t="shared" si="8"/>
        <v>2811.1455000000005</v>
      </c>
      <c r="AC18" s="15">
        <f t="shared" si="9"/>
        <v>1011.1455000000005</v>
      </c>
    </row>
    <row r="19" spans="1:29" x14ac:dyDescent="0.35">
      <c r="A19" t="s">
        <v>104</v>
      </c>
      <c r="B19" t="s">
        <v>105</v>
      </c>
      <c r="C19" t="s">
        <v>106</v>
      </c>
      <c r="D19" t="s">
        <v>107</v>
      </c>
      <c r="E19" s="1">
        <v>45017</v>
      </c>
      <c r="F19" s="24">
        <f t="shared" si="0"/>
        <v>2023</v>
      </c>
      <c r="G19" s="24" t="str">
        <f t="shared" si="1"/>
        <v>April</v>
      </c>
      <c r="H19" s="24" t="str">
        <f t="shared" si="2"/>
        <v>Saturday</v>
      </c>
      <c r="I19" s="22">
        <v>0.57578703703703704</v>
      </c>
      <c r="J19" s="24">
        <f t="shared" si="3"/>
        <v>13</v>
      </c>
      <c r="K19" s="24">
        <f t="shared" si="4"/>
        <v>49</v>
      </c>
      <c r="L19" s="24">
        <f t="shared" si="5"/>
        <v>8</v>
      </c>
      <c r="M19" t="s">
        <v>33</v>
      </c>
      <c r="N19" t="s">
        <v>34</v>
      </c>
      <c r="O19" s="24">
        <v>8</v>
      </c>
      <c r="P19" s="11">
        <v>405.54</v>
      </c>
      <c r="Q19" s="26">
        <f>VLOOKUP('Prepared Sales Dataset'!M19,'Product-cost'!A:B,2,FALSE)</f>
        <v>200</v>
      </c>
      <c r="R19" t="s">
        <v>55</v>
      </c>
      <c r="S19" t="s">
        <v>108</v>
      </c>
      <c r="T19" t="s">
        <v>109</v>
      </c>
      <c r="U19" t="s">
        <v>923</v>
      </c>
      <c r="V19" s="17">
        <f>P19*O19</f>
        <v>3244.32</v>
      </c>
      <c r="W19" s="19">
        <f>O19*Q19</f>
        <v>1600</v>
      </c>
      <c r="X19" s="13">
        <f>VLOOKUP(R19,Taxrate!A:B,2,FALSE)</f>
        <v>7.0000000000000007E-2</v>
      </c>
      <c r="Y19" s="15">
        <f t="shared" si="6"/>
        <v>227.10240000000005</v>
      </c>
      <c r="Z19" s="9">
        <f>VLOOKUP(M19,'Discount Rate'!A:B,2,FALSE)</f>
        <v>0.08</v>
      </c>
      <c r="AA19" s="11">
        <f t="shared" si="7"/>
        <v>259.54560000000004</v>
      </c>
      <c r="AB19" s="15">
        <f t="shared" si="8"/>
        <v>2757.672</v>
      </c>
      <c r="AC19" s="15">
        <f t="shared" si="9"/>
        <v>1157.672</v>
      </c>
    </row>
    <row r="20" spans="1:29" x14ac:dyDescent="0.35">
      <c r="A20" t="s">
        <v>110</v>
      </c>
      <c r="B20" t="s">
        <v>111</v>
      </c>
      <c r="C20" t="s">
        <v>106</v>
      </c>
      <c r="D20" t="s">
        <v>107</v>
      </c>
      <c r="E20" s="1">
        <v>45012</v>
      </c>
      <c r="F20" s="24">
        <f t="shared" si="0"/>
        <v>2023</v>
      </c>
      <c r="G20" s="24" t="str">
        <f t="shared" si="1"/>
        <v>March</v>
      </c>
      <c r="H20" s="24" t="str">
        <f t="shared" si="2"/>
        <v>Monday</v>
      </c>
      <c r="I20" s="22">
        <v>0.58193287037037034</v>
      </c>
      <c r="J20" s="24">
        <f t="shared" si="3"/>
        <v>13</v>
      </c>
      <c r="K20" s="24">
        <f t="shared" si="4"/>
        <v>57</v>
      </c>
      <c r="L20" s="24">
        <f t="shared" si="5"/>
        <v>59</v>
      </c>
      <c r="M20" t="s">
        <v>17</v>
      </c>
      <c r="N20" t="s">
        <v>18</v>
      </c>
      <c r="O20" s="24">
        <v>4</v>
      </c>
      <c r="P20" s="11">
        <v>1133.47</v>
      </c>
      <c r="Q20" s="26">
        <f>VLOOKUP('Prepared Sales Dataset'!M20,'Product-cost'!A:B,2,FALSE)</f>
        <v>600</v>
      </c>
      <c r="R20" t="s">
        <v>28</v>
      </c>
      <c r="S20" t="s">
        <v>112</v>
      </c>
      <c r="T20" t="s">
        <v>109</v>
      </c>
      <c r="U20" t="s">
        <v>923</v>
      </c>
      <c r="V20" s="17">
        <f>P20*O20</f>
        <v>4533.88</v>
      </c>
      <c r="W20" s="19">
        <f>O20*Q20</f>
        <v>2400</v>
      </c>
      <c r="X20" s="13">
        <f>VLOOKUP(R20,Taxrate!A:B,2,FALSE)</f>
        <v>0.1</v>
      </c>
      <c r="Y20" s="15">
        <f t="shared" si="6"/>
        <v>453.38800000000003</v>
      </c>
      <c r="Z20" s="9">
        <f>VLOOKUP(M20,'Discount Rate'!A:B,2,FALSE)</f>
        <v>0.05</v>
      </c>
      <c r="AA20" s="11">
        <f t="shared" si="7"/>
        <v>226.69400000000002</v>
      </c>
      <c r="AB20" s="15">
        <f t="shared" si="8"/>
        <v>3853.7979999999998</v>
      </c>
      <c r="AC20" s="15">
        <f t="shared" si="9"/>
        <v>1453.7979999999998</v>
      </c>
    </row>
    <row r="21" spans="1:29" x14ac:dyDescent="0.35">
      <c r="A21" t="s">
        <v>113</v>
      </c>
      <c r="B21" t="s">
        <v>114</v>
      </c>
      <c r="C21" t="s">
        <v>62</v>
      </c>
      <c r="D21" t="s">
        <v>63</v>
      </c>
      <c r="E21" s="1">
        <v>44977</v>
      </c>
      <c r="F21" s="24">
        <f t="shared" si="0"/>
        <v>2023</v>
      </c>
      <c r="G21" s="24" t="str">
        <f t="shared" si="1"/>
        <v>February</v>
      </c>
      <c r="H21" s="24" t="str">
        <f t="shared" si="2"/>
        <v>Monday</v>
      </c>
      <c r="I21" s="22">
        <v>0.83288194444444441</v>
      </c>
      <c r="J21" s="24">
        <f t="shared" si="3"/>
        <v>19</v>
      </c>
      <c r="K21" s="24">
        <f t="shared" si="4"/>
        <v>59</v>
      </c>
      <c r="L21" s="24">
        <f t="shared" si="5"/>
        <v>21</v>
      </c>
      <c r="M21" t="s">
        <v>78</v>
      </c>
      <c r="N21" t="s">
        <v>79</v>
      </c>
      <c r="O21" s="24">
        <v>14</v>
      </c>
      <c r="P21" s="11">
        <v>138.61000000000001</v>
      </c>
      <c r="Q21" s="26">
        <f>VLOOKUP('Prepared Sales Dataset'!M21,'Product-cost'!A:B,2,FALSE)</f>
        <v>50</v>
      </c>
      <c r="R21" t="s">
        <v>35</v>
      </c>
      <c r="S21" t="s">
        <v>80</v>
      </c>
      <c r="T21" t="s">
        <v>103</v>
      </c>
      <c r="U21" t="s">
        <v>921</v>
      </c>
      <c r="V21" s="17">
        <f>P21*O21</f>
        <v>1940.5400000000002</v>
      </c>
      <c r="W21" s="19">
        <f>O21*Q21</f>
        <v>700</v>
      </c>
      <c r="X21" s="13">
        <f>VLOOKUP(R21,Taxrate!A:B,2,FALSE)</f>
        <v>0.2</v>
      </c>
      <c r="Y21" s="15">
        <f t="shared" si="6"/>
        <v>388.10800000000006</v>
      </c>
      <c r="Z21" s="9">
        <f>VLOOKUP(M21,'Discount Rate'!A:B,2,FALSE)</f>
        <v>0.03</v>
      </c>
      <c r="AA21" s="11">
        <f t="shared" si="7"/>
        <v>58.216200000000001</v>
      </c>
      <c r="AB21" s="15">
        <f t="shared" si="8"/>
        <v>1494.2158000000002</v>
      </c>
      <c r="AC21" s="15">
        <f t="shared" si="9"/>
        <v>794.21580000000017</v>
      </c>
    </row>
    <row r="22" spans="1:29" x14ac:dyDescent="0.35">
      <c r="A22" t="s">
        <v>115</v>
      </c>
      <c r="B22" t="s">
        <v>116</v>
      </c>
      <c r="C22" t="s">
        <v>24</v>
      </c>
      <c r="D22" t="s">
        <v>25</v>
      </c>
      <c r="E22" s="1">
        <v>44975</v>
      </c>
      <c r="F22" s="24">
        <f t="shared" si="0"/>
        <v>2023</v>
      </c>
      <c r="G22" s="24" t="str">
        <f t="shared" si="1"/>
        <v>February</v>
      </c>
      <c r="H22" s="24" t="str">
        <f t="shared" si="2"/>
        <v>Saturday</v>
      </c>
      <c r="I22" s="22">
        <v>0.59811342592592598</v>
      </c>
      <c r="J22" s="24">
        <f t="shared" si="3"/>
        <v>14</v>
      </c>
      <c r="K22" s="24">
        <f t="shared" si="4"/>
        <v>21</v>
      </c>
      <c r="L22" s="24">
        <f t="shared" si="5"/>
        <v>17</v>
      </c>
      <c r="M22" t="s">
        <v>17</v>
      </c>
      <c r="N22" t="s">
        <v>18</v>
      </c>
      <c r="O22" s="24">
        <v>5</v>
      </c>
      <c r="P22" s="11">
        <v>1054.7</v>
      </c>
      <c r="Q22" s="26">
        <f>VLOOKUP('Prepared Sales Dataset'!M22,'Product-cost'!A:B,2,FALSE)</f>
        <v>600</v>
      </c>
      <c r="R22" t="s">
        <v>59</v>
      </c>
      <c r="S22" t="s">
        <v>56</v>
      </c>
      <c r="U22" t="s">
        <v>923</v>
      </c>
      <c r="V22" s="17">
        <f>P22*O22</f>
        <v>5273.5</v>
      </c>
      <c r="W22" s="19">
        <f>O22*Q22</f>
        <v>3000</v>
      </c>
      <c r="X22" s="13">
        <f>VLOOKUP(R22,Taxrate!A:B,2,FALSE)</f>
        <v>0.12</v>
      </c>
      <c r="Y22" s="15">
        <f t="shared" si="6"/>
        <v>632.81999999999994</v>
      </c>
      <c r="Z22" s="9">
        <f>VLOOKUP(M22,'Discount Rate'!A:B,2,FALSE)</f>
        <v>0.05</v>
      </c>
      <c r="AA22" s="11">
        <f t="shared" si="7"/>
        <v>263.67500000000001</v>
      </c>
      <c r="AB22" s="15">
        <f t="shared" si="8"/>
        <v>4377.0050000000001</v>
      </c>
      <c r="AC22" s="15">
        <f t="shared" si="9"/>
        <v>1377.0050000000001</v>
      </c>
    </row>
    <row r="23" spans="1:29" x14ac:dyDescent="0.35">
      <c r="A23" t="s">
        <v>118</v>
      </c>
      <c r="B23" t="s">
        <v>119</v>
      </c>
      <c r="C23" t="s">
        <v>98</v>
      </c>
      <c r="D23" t="s">
        <v>99</v>
      </c>
      <c r="E23" s="1">
        <v>45634</v>
      </c>
      <c r="F23" s="24">
        <f t="shared" si="0"/>
        <v>2024</v>
      </c>
      <c r="G23" s="24" t="str">
        <f t="shared" si="1"/>
        <v>December</v>
      </c>
      <c r="H23" s="24" t="str">
        <f t="shared" si="2"/>
        <v>Sunday</v>
      </c>
      <c r="I23" s="22">
        <v>0.61009259259259263</v>
      </c>
      <c r="J23" s="24">
        <f t="shared" si="3"/>
        <v>14</v>
      </c>
      <c r="K23" s="24">
        <f t="shared" si="4"/>
        <v>38</v>
      </c>
      <c r="L23" s="24">
        <f t="shared" si="5"/>
        <v>32</v>
      </c>
      <c r="M23" t="s">
        <v>17</v>
      </c>
      <c r="N23" t="s">
        <v>18</v>
      </c>
      <c r="O23" s="24">
        <v>10</v>
      </c>
      <c r="P23" s="11">
        <v>822.19</v>
      </c>
      <c r="Q23" s="26">
        <f>VLOOKUP('Prepared Sales Dataset'!M23,'Product-cost'!A:B,2,FALSE)</f>
        <v>600</v>
      </c>
      <c r="R23" t="s">
        <v>42</v>
      </c>
      <c r="S23" t="s">
        <v>122</v>
      </c>
      <c r="T23" t="s">
        <v>74</v>
      </c>
      <c r="U23" t="s">
        <v>922</v>
      </c>
      <c r="V23" s="17">
        <f>P23*O23</f>
        <v>8221.9000000000015</v>
      </c>
      <c r="W23" s="19">
        <f>O23*Q23</f>
        <v>6000</v>
      </c>
      <c r="X23" s="13">
        <f>VLOOKUP(R23,Taxrate!A:B,2,FALSE)</f>
        <v>0.15</v>
      </c>
      <c r="Y23" s="15">
        <f t="shared" si="6"/>
        <v>1233.2850000000001</v>
      </c>
      <c r="Z23" s="9">
        <f>VLOOKUP(M23,'Discount Rate'!A:B,2,FALSE)</f>
        <v>0.05</v>
      </c>
      <c r="AA23" s="11">
        <f t="shared" si="7"/>
        <v>411.09500000000008</v>
      </c>
      <c r="AB23" s="15">
        <f t="shared" si="8"/>
        <v>6577.5200000000013</v>
      </c>
      <c r="AC23" s="15">
        <f t="shared" si="9"/>
        <v>577.52000000000135</v>
      </c>
    </row>
    <row r="24" spans="1:29" x14ac:dyDescent="0.35">
      <c r="A24" t="s">
        <v>123</v>
      </c>
      <c r="B24" t="s">
        <v>124</v>
      </c>
      <c r="C24" t="s">
        <v>98</v>
      </c>
      <c r="D24" t="s">
        <v>99</v>
      </c>
      <c r="E24" s="1">
        <v>46285</v>
      </c>
      <c r="F24" s="24">
        <f t="shared" si="0"/>
        <v>2026</v>
      </c>
      <c r="G24" s="24" t="str">
        <f t="shared" si="1"/>
        <v>September</v>
      </c>
      <c r="H24" s="24" t="str">
        <f t="shared" si="2"/>
        <v>Sunday</v>
      </c>
      <c r="I24" s="22">
        <v>0.83146990740740745</v>
      </c>
      <c r="J24" s="24">
        <f t="shared" si="3"/>
        <v>19</v>
      </c>
      <c r="K24" s="24">
        <f t="shared" si="4"/>
        <v>57</v>
      </c>
      <c r="L24" s="24">
        <f t="shared" si="5"/>
        <v>19</v>
      </c>
      <c r="M24" t="s">
        <v>49</v>
      </c>
      <c r="N24" t="s">
        <v>50</v>
      </c>
      <c r="O24" s="24">
        <v>7</v>
      </c>
      <c r="P24" s="11">
        <v>252.69</v>
      </c>
      <c r="Q24" s="26">
        <f>VLOOKUP('Prepared Sales Dataset'!M24,'Product-cost'!A:B,2,FALSE)</f>
        <v>150</v>
      </c>
      <c r="R24" t="s">
        <v>59</v>
      </c>
      <c r="S24" t="s">
        <v>122</v>
      </c>
      <c r="T24" t="s">
        <v>125</v>
      </c>
      <c r="U24" t="s">
        <v>921</v>
      </c>
      <c r="V24" s="17">
        <f>P24*O24</f>
        <v>1768.83</v>
      </c>
      <c r="W24" s="19">
        <f>O24*Q24</f>
        <v>1050</v>
      </c>
      <c r="X24" s="13">
        <f>VLOOKUP(R24,Taxrate!A:B,2,FALSE)</f>
        <v>0.12</v>
      </c>
      <c r="Y24" s="15">
        <f t="shared" si="6"/>
        <v>212.25959999999998</v>
      </c>
      <c r="Z24" s="9">
        <f>VLOOKUP(M24,'Discount Rate'!A:B,2,FALSE)</f>
        <v>7.0000000000000007E-2</v>
      </c>
      <c r="AA24" s="11">
        <f t="shared" si="7"/>
        <v>123.8181</v>
      </c>
      <c r="AB24" s="15">
        <f t="shared" si="8"/>
        <v>1432.7522999999999</v>
      </c>
      <c r="AC24" s="15">
        <f t="shared" si="9"/>
        <v>382.75229999999988</v>
      </c>
    </row>
    <row r="25" spans="1:29" x14ac:dyDescent="0.35">
      <c r="A25" t="s">
        <v>126</v>
      </c>
      <c r="B25" t="s">
        <v>127</v>
      </c>
      <c r="C25" t="s">
        <v>128</v>
      </c>
      <c r="D25" t="s">
        <v>63</v>
      </c>
      <c r="E25" s="1">
        <v>45357</v>
      </c>
      <c r="F25" s="24">
        <f t="shared" si="0"/>
        <v>2024</v>
      </c>
      <c r="G25" s="24" t="str">
        <f t="shared" si="1"/>
        <v>March</v>
      </c>
      <c r="H25" s="24" t="str">
        <f t="shared" si="2"/>
        <v>Wednesday</v>
      </c>
      <c r="I25" s="22">
        <v>0.85946759259259264</v>
      </c>
      <c r="J25" s="24">
        <f t="shared" si="3"/>
        <v>20</v>
      </c>
      <c r="K25" s="24">
        <f t="shared" si="4"/>
        <v>37</v>
      </c>
      <c r="L25" s="24">
        <f t="shared" si="5"/>
        <v>38</v>
      </c>
      <c r="M25" t="s">
        <v>33</v>
      </c>
      <c r="N25" t="s">
        <v>34</v>
      </c>
      <c r="O25" s="24">
        <v>8</v>
      </c>
      <c r="P25" s="11">
        <v>422.23</v>
      </c>
      <c r="Q25" s="26">
        <f>VLOOKUP('Prepared Sales Dataset'!M25,'Product-cost'!A:B,2,FALSE)</f>
        <v>200</v>
      </c>
      <c r="R25" t="s">
        <v>35</v>
      </c>
      <c r="S25" t="s">
        <v>64</v>
      </c>
      <c r="U25" t="s">
        <v>923</v>
      </c>
      <c r="V25" s="17">
        <f>P25*O25</f>
        <v>3377.84</v>
      </c>
      <c r="W25" s="19">
        <f>O25*Q25</f>
        <v>1600</v>
      </c>
      <c r="X25" s="13">
        <f>VLOOKUP(R25,Taxrate!A:B,2,FALSE)</f>
        <v>0.2</v>
      </c>
      <c r="Y25" s="15">
        <f t="shared" si="6"/>
        <v>675.5680000000001</v>
      </c>
      <c r="Z25" s="9">
        <f>VLOOKUP(M25,'Discount Rate'!A:B,2,FALSE)</f>
        <v>0.08</v>
      </c>
      <c r="AA25" s="11">
        <f t="shared" si="7"/>
        <v>270.22720000000004</v>
      </c>
      <c r="AB25" s="15">
        <f t="shared" si="8"/>
        <v>2432.0448000000001</v>
      </c>
      <c r="AC25" s="15">
        <f t="shared" si="9"/>
        <v>832.04480000000012</v>
      </c>
    </row>
    <row r="26" spans="1:29" x14ac:dyDescent="0.35">
      <c r="A26" t="s">
        <v>129</v>
      </c>
      <c r="B26" t="s">
        <v>130</v>
      </c>
      <c r="C26" t="s">
        <v>24</v>
      </c>
      <c r="D26" t="s">
        <v>25</v>
      </c>
      <c r="E26" s="1">
        <v>45228</v>
      </c>
      <c r="F26" s="24">
        <f t="shared" si="0"/>
        <v>2023</v>
      </c>
      <c r="G26" s="24" t="str">
        <f t="shared" si="1"/>
        <v>October</v>
      </c>
      <c r="H26" s="24" t="str">
        <f t="shared" si="2"/>
        <v>Sunday</v>
      </c>
      <c r="I26" s="22">
        <v>0.34409722222222222</v>
      </c>
      <c r="J26" s="24">
        <f t="shared" si="3"/>
        <v>8</v>
      </c>
      <c r="K26" s="24">
        <f t="shared" si="4"/>
        <v>15</v>
      </c>
      <c r="L26" s="24">
        <f t="shared" si="5"/>
        <v>30</v>
      </c>
      <c r="M26" t="s">
        <v>49</v>
      </c>
      <c r="N26" t="s">
        <v>50</v>
      </c>
      <c r="O26" s="24">
        <v>2</v>
      </c>
      <c r="P26" s="11">
        <v>273.48</v>
      </c>
      <c r="Q26" s="26">
        <f>VLOOKUP('Prepared Sales Dataset'!M26,'Product-cost'!A:B,2,FALSE)</f>
        <v>150</v>
      </c>
      <c r="R26" t="s">
        <v>59</v>
      </c>
      <c r="S26" t="s">
        <v>56</v>
      </c>
      <c r="U26" t="s">
        <v>923</v>
      </c>
      <c r="V26" s="17">
        <f>P26*O26</f>
        <v>546.96</v>
      </c>
      <c r="W26" s="19">
        <f>O26*Q26</f>
        <v>300</v>
      </c>
      <c r="X26" s="13">
        <f>VLOOKUP(R26,Taxrate!A:B,2,FALSE)</f>
        <v>0.12</v>
      </c>
      <c r="Y26" s="15">
        <f t="shared" si="6"/>
        <v>65.635199999999998</v>
      </c>
      <c r="Z26" s="9">
        <f>VLOOKUP(M26,'Discount Rate'!A:B,2,FALSE)</f>
        <v>7.0000000000000007E-2</v>
      </c>
      <c r="AA26" s="11">
        <f t="shared" si="7"/>
        <v>38.287200000000006</v>
      </c>
      <c r="AB26" s="15">
        <f t="shared" si="8"/>
        <v>443.0376</v>
      </c>
      <c r="AC26" s="15">
        <f t="shared" si="9"/>
        <v>143.0376</v>
      </c>
    </row>
    <row r="27" spans="1:29" x14ac:dyDescent="0.35">
      <c r="A27" t="s">
        <v>131</v>
      </c>
      <c r="B27" t="s">
        <v>132</v>
      </c>
      <c r="C27" t="s">
        <v>15</v>
      </c>
      <c r="D27" t="s">
        <v>16</v>
      </c>
      <c r="E27" s="1">
        <v>45375</v>
      </c>
      <c r="F27" s="24">
        <f t="shared" si="0"/>
        <v>2024</v>
      </c>
      <c r="G27" s="24" t="str">
        <f t="shared" si="1"/>
        <v>March</v>
      </c>
      <c r="H27" s="24" t="str">
        <f t="shared" si="2"/>
        <v>Sunday</v>
      </c>
      <c r="I27" s="22">
        <v>0.86427083333333332</v>
      </c>
      <c r="J27" s="24">
        <f t="shared" si="3"/>
        <v>20</v>
      </c>
      <c r="K27" s="24">
        <f t="shared" si="4"/>
        <v>44</v>
      </c>
      <c r="L27" s="24">
        <f t="shared" si="5"/>
        <v>33</v>
      </c>
      <c r="M27" t="s">
        <v>78</v>
      </c>
      <c r="N27" t="s">
        <v>79</v>
      </c>
      <c r="O27" s="24">
        <v>8</v>
      </c>
      <c r="P27" s="11">
        <v>183.63</v>
      </c>
      <c r="Q27" s="26">
        <f>VLOOKUP('Prepared Sales Dataset'!M27,'Product-cost'!A:B,2,FALSE)</f>
        <v>50</v>
      </c>
      <c r="R27" t="s">
        <v>42</v>
      </c>
      <c r="S27" t="s">
        <v>36</v>
      </c>
      <c r="T27" t="s">
        <v>133</v>
      </c>
      <c r="U27" t="s">
        <v>921</v>
      </c>
      <c r="V27" s="17">
        <f>P27*O27</f>
        <v>1469.04</v>
      </c>
      <c r="W27" s="19">
        <f>O27*Q27</f>
        <v>400</v>
      </c>
      <c r="X27" s="13">
        <f>VLOOKUP(R27,Taxrate!A:B,2,FALSE)</f>
        <v>0.15</v>
      </c>
      <c r="Y27" s="15">
        <f t="shared" si="6"/>
        <v>220.35599999999999</v>
      </c>
      <c r="Z27" s="9">
        <f>VLOOKUP(M27,'Discount Rate'!A:B,2,FALSE)</f>
        <v>0.03</v>
      </c>
      <c r="AA27" s="11">
        <f t="shared" si="7"/>
        <v>44.071199999999997</v>
      </c>
      <c r="AB27" s="15">
        <f t="shared" si="8"/>
        <v>1204.6127999999999</v>
      </c>
      <c r="AC27" s="15">
        <f t="shared" si="9"/>
        <v>804.61279999999988</v>
      </c>
    </row>
    <row r="28" spans="1:29" x14ac:dyDescent="0.35">
      <c r="A28" t="s">
        <v>134</v>
      </c>
      <c r="B28" t="s">
        <v>135</v>
      </c>
      <c r="C28" t="s">
        <v>136</v>
      </c>
      <c r="D28" t="s">
        <v>25</v>
      </c>
      <c r="E28" s="1">
        <v>46049</v>
      </c>
      <c r="F28" s="24">
        <f t="shared" si="0"/>
        <v>2026</v>
      </c>
      <c r="G28" s="24" t="str">
        <f t="shared" si="1"/>
        <v>January</v>
      </c>
      <c r="H28" s="24" t="str">
        <f t="shared" si="2"/>
        <v>Tuesday</v>
      </c>
      <c r="I28" s="22">
        <v>0.44994212962962965</v>
      </c>
      <c r="J28" s="24">
        <f t="shared" si="3"/>
        <v>10</v>
      </c>
      <c r="K28" s="24">
        <f t="shared" si="4"/>
        <v>47</v>
      </c>
      <c r="L28" s="24">
        <f t="shared" si="5"/>
        <v>55</v>
      </c>
      <c r="M28" t="s">
        <v>78</v>
      </c>
      <c r="N28" t="s">
        <v>79</v>
      </c>
      <c r="O28" s="24">
        <v>13</v>
      </c>
      <c r="P28" s="11">
        <v>167.82</v>
      </c>
      <c r="Q28" s="26">
        <f>VLOOKUP('Prepared Sales Dataset'!M28,'Product-cost'!A:B,2,FALSE)</f>
        <v>50</v>
      </c>
      <c r="R28" t="s">
        <v>59</v>
      </c>
      <c r="S28" t="s">
        <v>56</v>
      </c>
      <c r="U28" t="s">
        <v>923</v>
      </c>
      <c r="V28" s="17">
        <f>P28*O28</f>
        <v>2181.66</v>
      </c>
      <c r="W28" s="19">
        <f>O28*Q28</f>
        <v>650</v>
      </c>
      <c r="X28" s="13">
        <f>VLOOKUP(R28,Taxrate!A:B,2,FALSE)</f>
        <v>0.12</v>
      </c>
      <c r="Y28" s="15">
        <f t="shared" si="6"/>
        <v>261.79919999999998</v>
      </c>
      <c r="Z28" s="9">
        <f>VLOOKUP(M28,'Discount Rate'!A:B,2,FALSE)</f>
        <v>0.03</v>
      </c>
      <c r="AA28" s="11">
        <f t="shared" si="7"/>
        <v>65.449799999999996</v>
      </c>
      <c r="AB28" s="15">
        <f t="shared" si="8"/>
        <v>1854.4109999999998</v>
      </c>
      <c r="AC28" s="15">
        <f t="shared" si="9"/>
        <v>1204.4109999999998</v>
      </c>
    </row>
    <row r="29" spans="1:29" x14ac:dyDescent="0.35">
      <c r="A29" t="s">
        <v>137</v>
      </c>
      <c r="B29" t="s">
        <v>138</v>
      </c>
      <c r="C29" t="s">
        <v>139</v>
      </c>
      <c r="D29" t="s">
        <v>25</v>
      </c>
      <c r="E29" s="1">
        <v>45400</v>
      </c>
      <c r="F29" s="24">
        <f t="shared" si="0"/>
        <v>2024</v>
      </c>
      <c r="G29" s="24" t="str">
        <f t="shared" si="1"/>
        <v>April</v>
      </c>
      <c r="H29" s="24" t="str">
        <f t="shared" si="2"/>
        <v>Thursday</v>
      </c>
      <c r="I29" s="22">
        <v>0.79843750000000002</v>
      </c>
      <c r="J29" s="24">
        <f t="shared" si="3"/>
        <v>19</v>
      </c>
      <c r="K29" s="24">
        <f t="shared" si="4"/>
        <v>9</v>
      </c>
      <c r="L29" s="24">
        <f t="shared" si="5"/>
        <v>45</v>
      </c>
      <c r="M29" t="s">
        <v>26</v>
      </c>
      <c r="N29" t="s">
        <v>27</v>
      </c>
      <c r="O29" s="24">
        <v>8</v>
      </c>
      <c r="P29" s="11">
        <v>642.78</v>
      </c>
      <c r="Q29" s="26">
        <f>VLOOKUP('Prepared Sales Dataset'!M29,'Product-cost'!A:B,2,FALSE)</f>
        <v>300</v>
      </c>
      <c r="R29" t="s">
        <v>42</v>
      </c>
      <c r="S29" t="s">
        <v>56</v>
      </c>
      <c r="T29" t="s">
        <v>21</v>
      </c>
      <c r="U29" t="s">
        <v>921</v>
      </c>
      <c r="V29" s="17">
        <f>P29*O29</f>
        <v>5142.24</v>
      </c>
      <c r="W29" s="19">
        <f>O29*Q29</f>
        <v>2400</v>
      </c>
      <c r="X29" s="13">
        <f>VLOOKUP(R29,Taxrate!A:B,2,FALSE)</f>
        <v>0.15</v>
      </c>
      <c r="Y29" s="15">
        <f t="shared" si="6"/>
        <v>771.3359999999999</v>
      </c>
      <c r="Z29" s="9">
        <f>VLOOKUP(M29,'Discount Rate'!A:B,2,FALSE)</f>
        <v>0.1</v>
      </c>
      <c r="AA29" s="11">
        <f t="shared" si="7"/>
        <v>514.22400000000005</v>
      </c>
      <c r="AB29" s="15">
        <f t="shared" si="8"/>
        <v>3856.68</v>
      </c>
      <c r="AC29" s="15">
        <f t="shared" si="9"/>
        <v>1456.6799999999998</v>
      </c>
    </row>
    <row r="30" spans="1:29" x14ac:dyDescent="0.35">
      <c r="A30" t="s">
        <v>140</v>
      </c>
      <c r="B30" t="s">
        <v>141</v>
      </c>
      <c r="C30" t="s">
        <v>40</v>
      </c>
      <c r="D30" t="s">
        <v>41</v>
      </c>
      <c r="E30" s="1">
        <v>45725</v>
      </c>
      <c r="F30" s="24">
        <f t="shared" si="0"/>
        <v>2025</v>
      </c>
      <c r="G30" s="24" t="str">
        <f t="shared" si="1"/>
        <v>March</v>
      </c>
      <c r="H30" s="24" t="str">
        <f t="shared" si="2"/>
        <v>Sunday</v>
      </c>
      <c r="I30" s="22">
        <v>0.69984953703703701</v>
      </c>
      <c r="J30" s="24">
        <f t="shared" si="3"/>
        <v>16</v>
      </c>
      <c r="K30" s="24">
        <f t="shared" si="4"/>
        <v>47</v>
      </c>
      <c r="L30" s="24">
        <f t="shared" si="5"/>
        <v>47</v>
      </c>
      <c r="M30" t="s">
        <v>49</v>
      </c>
      <c r="N30" t="s">
        <v>50</v>
      </c>
      <c r="O30" s="24">
        <v>15</v>
      </c>
      <c r="P30" s="11">
        <v>200.14</v>
      </c>
      <c r="Q30" s="26">
        <f>VLOOKUP('Prepared Sales Dataset'!M30,'Product-cost'!A:B,2,FALSE)</f>
        <v>150</v>
      </c>
      <c r="R30" t="s">
        <v>42</v>
      </c>
      <c r="S30" t="s">
        <v>43</v>
      </c>
      <c r="T30" t="s">
        <v>142</v>
      </c>
      <c r="U30" t="s">
        <v>921</v>
      </c>
      <c r="V30" s="17">
        <f>P30*O30</f>
        <v>3002.1</v>
      </c>
      <c r="W30" s="19">
        <f>O30*Q30</f>
        <v>2250</v>
      </c>
      <c r="X30" s="13">
        <f>VLOOKUP(R30,Taxrate!A:B,2,FALSE)</f>
        <v>0.15</v>
      </c>
      <c r="Y30" s="15">
        <f t="shared" si="6"/>
        <v>450.315</v>
      </c>
      <c r="Z30" s="9">
        <f>VLOOKUP(M30,'Discount Rate'!A:B,2,FALSE)</f>
        <v>7.0000000000000007E-2</v>
      </c>
      <c r="AA30" s="11">
        <f t="shared" si="7"/>
        <v>210.14700000000002</v>
      </c>
      <c r="AB30" s="15">
        <f t="shared" si="8"/>
        <v>2341.6379999999999</v>
      </c>
      <c r="AC30" s="15">
        <f t="shared" si="9"/>
        <v>91.63799999999992</v>
      </c>
    </row>
    <row r="31" spans="1:29" x14ac:dyDescent="0.35">
      <c r="A31" t="s">
        <v>143</v>
      </c>
      <c r="B31" t="s">
        <v>144</v>
      </c>
      <c r="C31" t="s">
        <v>67</v>
      </c>
      <c r="D31" t="s">
        <v>16</v>
      </c>
      <c r="E31" s="1">
        <v>45733</v>
      </c>
      <c r="F31" s="24">
        <f t="shared" si="0"/>
        <v>2025</v>
      </c>
      <c r="G31" s="24" t="str">
        <f t="shared" si="1"/>
        <v>March</v>
      </c>
      <c r="H31" s="24" t="str">
        <f t="shared" si="2"/>
        <v>Monday</v>
      </c>
      <c r="I31" s="22">
        <v>0.40378472222222223</v>
      </c>
      <c r="J31" s="24">
        <f t="shared" si="3"/>
        <v>9</v>
      </c>
      <c r="K31" s="24">
        <f t="shared" si="4"/>
        <v>41</v>
      </c>
      <c r="L31" s="24">
        <f t="shared" si="5"/>
        <v>27</v>
      </c>
      <c r="M31" t="s">
        <v>26</v>
      </c>
      <c r="N31" t="s">
        <v>27</v>
      </c>
      <c r="O31" s="24">
        <v>3</v>
      </c>
      <c r="P31" s="11">
        <v>506</v>
      </c>
      <c r="Q31" s="26">
        <f>VLOOKUP('Prepared Sales Dataset'!M31,'Product-cost'!A:B,2,FALSE)</f>
        <v>300</v>
      </c>
      <c r="R31" t="s">
        <v>42</v>
      </c>
      <c r="S31" t="s">
        <v>36</v>
      </c>
      <c r="T31" t="s">
        <v>142</v>
      </c>
      <c r="U31" t="s">
        <v>921</v>
      </c>
      <c r="V31" s="17">
        <f>P31*O31</f>
        <v>1518</v>
      </c>
      <c r="W31" s="19">
        <f>O31*Q31</f>
        <v>900</v>
      </c>
      <c r="X31" s="13">
        <f>VLOOKUP(R31,Taxrate!A:B,2,FALSE)</f>
        <v>0.15</v>
      </c>
      <c r="Y31" s="15">
        <f t="shared" si="6"/>
        <v>227.7</v>
      </c>
      <c r="Z31" s="9">
        <f>VLOOKUP(M31,'Discount Rate'!A:B,2,FALSE)</f>
        <v>0.1</v>
      </c>
      <c r="AA31" s="11">
        <f t="shared" si="7"/>
        <v>151.80000000000001</v>
      </c>
      <c r="AB31" s="15">
        <f t="shared" si="8"/>
        <v>1138.5</v>
      </c>
      <c r="AC31" s="15">
        <f t="shared" si="9"/>
        <v>238.5</v>
      </c>
    </row>
    <row r="32" spans="1:29" x14ac:dyDescent="0.35">
      <c r="A32" t="s">
        <v>145</v>
      </c>
      <c r="B32" t="s">
        <v>146</v>
      </c>
      <c r="C32" t="s">
        <v>70</v>
      </c>
      <c r="D32" t="s">
        <v>71</v>
      </c>
      <c r="E32" s="1">
        <v>44966</v>
      </c>
      <c r="F32" s="24">
        <f t="shared" si="0"/>
        <v>2023</v>
      </c>
      <c r="G32" s="24" t="str">
        <f t="shared" si="1"/>
        <v>February</v>
      </c>
      <c r="H32" s="24" t="str">
        <f t="shared" si="2"/>
        <v>Thursday</v>
      </c>
      <c r="I32" s="22">
        <v>0.55186342592592597</v>
      </c>
      <c r="J32" s="24">
        <f t="shared" si="3"/>
        <v>13</v>
      </c>
      <c r="K32" s="24">
        <f t="shared" si="4"/>
        <v>14</v>
      </c>
      <c r="L32" s="24">
        <f t="shared" si="5"/>
        <v>41</v>
      </c>
      <c r="M32" t="s">
        <v>17</v>
      </c>
      <c r="N32" t="s">
        <v>18</v>
      </c>
      <c r="O32" s="24">
        <v>11</v>
      </c>
      <c r="P32" s="11">
        <v>506</v>
      </c>
      <c r="Q32" s="26">
        <f>VLOOKUP('Prepared Sales Dataset'!M32,'Product-cost'!A:B,2,FALSE)</f>
        <v>600</v>
      </c>
      <c r="R32" t="s">
        <v>55</v>
      </c>
      <c r="S32" t="s">
        <v>73</v>
      </c>
      <c r="T32" t="s">
        <v>109</v>
      </c>
      <c r="U32" t="s">
        <v>923</v>
      </c>
      <c r="V32" s="17">
        <f>P32*O32</f>
        <v>5566</v>
      </c>
      <c r="W32" s="19">
        <f>O32*Q32</f>
        <v>6600</v>
      </c>
      <c r="X32" s="13">
        <f>VLOOKUP(R32,Taxrate!A:B,2,FALSE)</f>
        <v>7.0000000000000007E-2</v>
      </c>
      <c r="Y32" s="15">
        <f t="shared" si="6"/>
        <v>389.62000000000006</v>
      </c>
      <c r="Z32" s="9">
        <f>VLOOKUP(M32,'Discount Rate'!A:B,2,FALSE)</f>
        <v>0.05</v>
      </c>
      <c r="AA32" s="11">
        <f t="shared" si="7"/>
        <v>278.3</v>
      </c>
      <c r="AB32" s="15">
        <f t="shared" si="8"/>
        <v>4898.08</v>
      </c>
      <c r="AC32" s="15">
        <f t="shared" si="9"/>
        <v>-1701.92</v>
      </c>
    </row>
    <row r="33" spans="1:29" x14ac:dyDescent="0.35">
      <c r="A33" t="s">
        <v>148</v>
      </c>
      <c r="B33" t="s">
        <v>149</v>
      </c>
      <c r="C33" t="s">
        <v>150</v>
      </c>
      <c r="D33" t="s">
        <v>25</v>
      </c>
      <c r="E33" s="1">
        <v>45682</v>
      </c>
      <c r="F33" s="24">
        <f t="shared" si="0"/>
        <v>2025</v>
      </c>
      <c r="G33" s="24" t="str">
        <f t="shared" si="1"/>
        <v>January</v>
      </c>
      <c r="H33" s="24" t="str">
        <f t="shared" si="2"/>
        <v>Saturday</v>
      </c>
      <c r="I33" s="22">
        <v>0.73526620370370366</v>
      </c>
      <c r="J33" s="24">
        <f t="shared" si="3"/>
        <v>17</v>
      </c>
      <c r="K33" s="24">
        <f t="shared" si="4"/>
        <v>38</v>
      </c>
      <c r="L33" s="24">
        <f t="shared" si="5"/>
        <v>47</v>
      </c>
      <c r="M33" t="s">
        <v>17</v>
      </c>
      <c r="N33" t="s">
        <v>18</v>
      </c>
      <c r="O33" s="24">
        <v>3</v>
      </c>
      <c r="P33" s="11">
        <v>854.05</v>
      </c>
      <c r="Q33" s="26">
        <f>VLOOKUP('Prepared Sales Dataset'!M33,'Product-cost'!A:B,2,FALSE)</f>
        <v>600</v>
      </c>
      <c r="R33" t="s">
        <v>55</v>
      </c>
      <c r="S33" t="s">
        <v>29</v>
      </c>
      <c r="T33" t="s">
        <v>142</v>
      </c>
      <c r="U33" t="s">
        <v>921</v>
      </c>
      <c r="V33" s="17">
        <f>P33*O33</f>
        <v>2562.1499999999996</v>
      </c>
      <c r="W33" s="19">
        <f>O33*Q33</f>
        <v>1800</v>
      </c>
      <c r="X33" s="13">
        <f>VLOOKUP(R33,Taxrate!A:B,2,FALSE)</f>
        <v>7.0000000000000007E-2</v>
      </c>
      <c r="Y33" s="15">
        <f t="shared" si="6"/>
        <v>179.35049999999998</v>
      </c>
      <c r="Z33" s="9">
        <f>VLOOKUP(M33,'Discount Rate'!A:B,2,FALSE)</f>
        <v>0.05</v>
      </c>
      <c r="AA33" s="11">
        <f t="shared" si="7"/>
        <v>128.10749999999999</v>
      </c>
      <c r="AB33" s="15">
        <f t="shared" si="8"/>
        <v>2254.6919999999996</v>
      </c>
      <c r="AC33" s="15">
        <f t="shared" si="9"/>
        <v>454.69199999999955</v>
      </c>
    </row>
    <row r="34" spans="1:29" x14ac:dyDescent="0.35">
      <c r="A34" t="s">
        <v>151</v>
      </c>
      <c r="B34" t="s">
        <v>152</v>
      </c>
      <c r="C34" t="s">
        <v>24</v>
      </c>
      <c r="D34" t="s">
        <v>25</v>
      </c>
      <c r="E34" s="1">
        <v>46354</v>
      </c>
      <c r="F34" s="24">
        <f t="shared" si="0"/>
        <v>2026</v>
      </c>
      <c r="G34" s="24" t="str">
        <f t="shared" si="1"/>
        <v>November</v>
      </c>
      <c r="H34" s="24" t="str">
        <f t="shared" si="2"/>
        <v>Saturday</v>
      </c>
      <c r="I34" s="22">
        <v>0.90530092592592593</v>
      </c>
      <c r="J34" s="24">
        <f t="shared" si="3"/>
        <v>21</v>
      </c>
      <c r="K34" s="24">
        <f t="shared" si="4"/>
        <v>43</v>
      </c>
      <c r="L34" s="24">
        <f t="shared" si="5"/>
        <v>38</v>
      </c>
      <c r="M34" t="s">
        <v>17</v>
      </c>
      <c r="N34" t="s">
        <v>18</v>
      </c>
      <c r="O34" s="24">
        <v>10</v>
      </c>
      <c r="P34" s="11">
        <v>973.6</v>
      </c>
      <c r="Q34" s="26">
        <f>VLOOKUP('Prepared Sales Dataset'!M34,'Product-cost'!A:B,2,FALSE)</f>
        <v>600</v>
      </c>
      <c r="R34" t="s">
        <v>42</v>
      </c>
      <c r="S34" t="s">
        <v>56</v>
      </c>
      <c r="T34" t="s">
        <v>21</v>
      </c>
      <c r="U34" t="s">
        <v>921</v>
      </c>
      <c r="V34" s="17">
        <f>P34*O34</f>
        <v>9736</v>
      </c>
      <c r="W34" s="19">
        <f>O34*Q34</f>
        <v>6000</v>
      </c>
      <c r="X34" s="13">
        <f>VLOOKUP(R34,Taxrate!A:B,2,FALSE)</f>
        <v>0.15</v>
      </c>
      <c r="Y34" s="15">
        <f t="shared" si="6"/>
        <v>1460.3999999999999</v>
      </c>
      <c r="Z34" s="9">
        <f>VLOOKUP(M34,'Discount Rate'!A:B,2,FALSE)</f>
        <v>0.05</v>
      </c>
      <c r="AA34" s="11">
        <f t="shared" si="7"/>
        <v>486.8</v>
      </c>
      <c r="AB34" s="15">
        <f t="shared" si="8"/>
        <v>7788.8</v>
      </c>
      <c r="AC34" s="15">
        <f t="shared" si="9"/>
        <v>1788.8000000000002</v>
      </c>
    </row>
    <row r="35" spans="1:29" x14ac:dyDescent="0.35">
      <c r="A35" t="s">
        <v>153</v>
      </c>
      <c r="B35" t="s">
        <v>53</v>
      </c>
      <c r="C35" t="s">
        <v>150</v>
      </c>
      <c r="D35" t="s">
        <v>25</v>
      </c>
      <c r="E35" s="1">
        <v>45818</v>
      </c>
      <c r="F35" s="24">
        <f t="shared" si="0"/>
        <v>2025</v>
      </c>
      <c r="G35" s="24" t="str">
        <f t="shared" si="1"/>
        <v>June</v>
      </c>
      <c r="H35" s="24" t="str">
        <f t="shared" si="2"/>
        <v>Tuesday</v>
      </c>
      <c r="I35" s="22">
        <v>0.81505787037037036</v>
      </c>
      <c r="J35" s="24">
        <f t="shared" si="3"/>
        <v>19</v>
      </c>
      <c r="K35" s="24">
        <f t="shared" si="4"/>
        <v>33</v>
      </c>
      <c r="L35" s="24">
        <f t="shared" si="5"/>
        <v>41</v>
      </c>
      <c r="M35" t="s">
        <v>33</v>
      </c>
      <c r="N35" t="s">
        <v>34</v>
      </c>
      <c r="O35" s="24">
        <v>15</v>
      </c>
      <c r="P35" s="11">
        <v>416.7</v>
      </c>
      <c r="Q35" s="26">
        <f>VLOOKUP('Prepared Sales Dataset'!M35,'Product-cost'!A:B,2,FALSE)</f>
        <v>200</v>
      </c>
      <c r="R35" t="s">
        <v>42</v>
      </c>
      <c r="S35" t="s">
        <v>155</v>
      </c>
      <c r="T35" t="s">
        <v>44</v>
      </c>
      <c r="U35" t="s">
        <v>921</v>
      </c>
      <c r="V35" s="17">
        <f>P35*O35</f>
        <v>6250.5</v>
      </c>
      <c r="W35" s="19">
        <f>O35*Q35</f>
        <v>3000</v>
      </c>
      <c r="X35" s="13">
        <f>VLOOKUP(R35,Taxrate!A:B,2,FALSE)</f>
        <v>0.15</v>
      </c>
      <c r="Y35" s="15">
        <f t="shared" si="6"/>
        <v>937.57499999999993</v>
      </c>
      <c r="Z35" s="9">
        <f>VLOOKUP(M35,'Discount Rate'!A:B,2,FALSE)</f>
        <v>0.08</v>
      </c>
      <c r="AA35" s="11">
        <f t="shared" si="7"/>
        <v>500.04</v>
      </c>
      <c r="AB35" s="15">
        <f t="shared" si="8"/>
        <v>4812.8850000000002</v>
      </c>
      <c r="AC35" s="15">
        <f t="shared" si="9"/>
        <v>1812.8850000000002</v>
      </c>
    </row>
    <row r="36" spans="1:29" x14ac:dyDescent="0.35">
      <c r="A36" t="s">
        <v>156</v>
      </c>
      <c r="B36" t="s">
        <v>157</v>
      </c>
      <c r="C36" t="s">
        <v>150</v>
      </c>
      <c r="D36" t="s">
        <v>25</v>
      </c>
      <c r="E36" s="1">
        <v>45615</v>
      </c>
      <c r="F36" s="24">
        <f t="shared" si="0"/>
        <v>2024</v>
      </c>
      <c r="G36" s="24" t="str">
        <f t="shared" si="1"/>
        <v>November</v>
      </c>
      <c r="H36" s="24" t="str">
        <f t="shared" si="2"/>
        <v>Tuesday</v>
      </c>
      <c r="I36" s="22">
        <v>0.66273148148148153</v>
      </c>
      <c r="J36" s="24">
        <f t="shared" si="3"/>
        <v>15</v>
      </c>
      <c r="K36" s="24">
        <f t="shared" si="4"/>
        <v>54</v>
      </c>
      <c r="L36" s="24">
        <f t="shared" si="5"/>
        <v>20</v>
      </c>
      <c r="M36" t="s">
        <v>26</v>
      </c>
      <c r="N36" t="s">
        <v>27</v>
      </c>
      <c r="O36" s="24">
        <v>6</v>
      </c>
      <c r="P36" s="11">
        <v>582.1</v>
      </c>
      <c r="Q36" s="26">
        <f>VLOOKUP('Prepared Sales Dataset'!M36,'Product-cost'!A:B,2,FALSE)</f>
        <v>300</v>
      </c>
      <c r="R36" t="s">
        <v>59</v>
      </c>
      <c r="S36" t="s">
        <v>29</v>
      </c>
      <c r="U36" t="s">
        <v>923</v>
      </c>
      <c r="V36" s="17">
        <f>P36*O36</f>
        <v>3492.6000000000004</v>
      </c>
      <c r="W36" s="19">
        <f>O36*Q36</f>
        <v>1800</v>
      </c>
      <c r="X36" s="13">
        <f>VLOOKUP(R36,Taxrate!A:B,2,FALSE)</f>
        <v>0.12</v>
      </c>
      <c r="Y36" s="15">
        <f t="shared" si="6"/>
        <v>419.11200000000002</v>
      </c>
      <c r="Z36" s="9">
        <f>VLOOKUP(M36,'Discount Rate'!A:B,2,FALSE)</f>
        <v>0.1</v>
      </c>
      <c r="AA36" s="11">
        <f t="shared" si="7"/>
        <v>349.26000000000005</v>
      </c>
      <c r="AB36" s="15">
        <f t="shared" si="8"/>
        <v>2724.2280000000001</v>
      </c>
      <c r="AC36" s="15">
        <f t="shared" si="9"/>
        <v>924.22800000000007</v>
      </c>
    </row>
    <row r="37" spans="1:29" x14ac:dyDescent="0.35">
      <c r="A37" t="s">
        <v>159</v>
      </c>
      <c r="B37" t="s">
        <v>160</v>
      </c>
      <c r="C37" t="s">
        <v>24</v>
      </c>
      <c r="D37" t="s">
        <v>25</v>
      </c>
      <c r="E37" s="1">
        <v>46249</v>
      </c>
      <c r="F37" s="24">
        <f t="shared" si="0"/>
        <v>2026</v>
      </c>
      <c r="G37" s="24" t="str">
        <f t="shared" si="1"/>
        <v>August</v>
      </c>
      <c r="H37" s="24" t="str">
        <f t="shared" si="2"/>
        <v>Saturday</v>
      </c>
      <c r="I37" s="22">
        <v>0.65973379629629625</v>
      </c>
      <c r="J37" s="24">
        <f t="shared" si="3"/>
        <v>15</v>
      </c>
      <c r="K37" s="24">
        <f t="shared" si="4"/>
        <v>50</v>
      </c>
      <c r="L37" s="24">
        <f t="shared" si="5"/>
        <v>1</v>
      </c>
      <c r="M37" t="s">
        <v>17</v>
      </c>
      <c r="N37" t="s">
        <v>18</v>
      </c>
      <c r="O37" s="24">
        <v>7</v>
      </c>
      <c r="P37" s="11">
        <v>953.1</v>
      </c>
      <c r="Q37" s="26">
        <f>VLOOKUP('Prepared Sales Dataset'!M37,'Product-cost'!A:B,2,FALSE)</f>
        <v>600</v>
      </c>
      <c r="R37" t="s">
        <v>59</v>
      </c>
      <c r="S37" t="s">
        <v>29</v>
      </c>
      <c r="T37" t="s">
        <v>133</v>
      </c>
      <c r="U37" t="s">
        <v>921</v>
      </c>
      <c r="V37" s="17">
        <f>P37*O37</f>
        <v>6671.7</v>
      </c>
      <c r="W37" s="19">
        <f>O37*Q37</f>
        <v>4200</v>
      </c>
      <c r="X37" s="13">
        <f>VLOOKUP(R37,Taxrate!A:B,2,FALSE)</f>
        <v>0.12</v>
      </c>
      <c r="Y37" s="15">
        <f t="shared" si="6"/>
        <v>800.60399999999993</v>
      </c>
      <c r="Z37" s="9">
        <f>VLOOKUP(M37,'Discount Rate'!A:B,2,FALSE)</f>
        <v>0.05</v>
      </c>
      <c r="AA37" s="11">
        <f t="shared" si="7"/>
        <v>333.58500000000004</v>
      </c>
      <c r="AB37" s="15">
        <f t="shared" si="8"/>
        <v>5537.5110000000004</v>
      </c>
      <c r="AC37" s="15">
        <f t="shared" si="9"/>
        <v>1337.5110000000004</v>
      </c>
    </row>
    <row r="38" spans="1:29" x14ac:dyDescent="0.35">
      <c r="A38" t="s">
        <v>161</v>
      </c>
      <c r="B38" t="s">
        <v>162</v>
      </c>
      <c r="C38" t="s">
        <v>15</v>
      </c>
      <c r="D38" t="s">
        <v>16</v>
      </c>
      <c r="E38" s="1">
        <v>45573</v>
      </c>
      <c r="F38" s="24">
        <f t="shared" si="0"/>
        <v>2024</v>
      </c>
      <c r="G38" s="24" t="str">
        <f t="shared" si="1"/>
        <v>October</v>
      </c>
      <c r="H38" s="24" t="str">
        <f t="shared" si="2"/>
        <v>Tuesday</v>
      </c>
      <c r="I38" s="22">
        <v>0.8158333333333333</v>
      </c>
      <c r="J38" s="24">
        <f t="shared" si="3"/>
        <v>19</v>
      </c>
      <c r="K38" s="24">
        <f t="shared" si="4"/>
        <v>34</v>
      </c>
      <c r="L38" s="24">
        <f t="shared" si="5"/>
        <v>48</v>
      </c>
      <c r="M38" t="s">
        <v>26</v>
      </c>
      <c r="N38" t="s">
        <v>27</v>
      </c>
      <c r="O38" s="24">
        <v>12</v>
      </c>
      <c r="P38" s="11">
        <v>697.38</v>
      </c>
      <c r="Q38" s="26">
        <f>VLOOKUP('Prepared Sales Dataset'!M38,'Product-cost'!A:B,2,FALSE)</f>
        <v>300</v>
      </c>
      <c r="R38" t="s">
        <v>59</v>
      </c>
      <c r="S38" t="s">
        <v>20</v>
      </c>
      <c r="U38" t="s">
        <v>923</v>
      </c>
      <c r="V38" s="17">
        <f>P38*O38</f>
        <v>8368.56</v>
      </c>
      <c r="W38" s="19">
        <f>O38*Q38</f>
        <v>3600</v>
      </c>
      <c r="X38" s="13">
        <f>VLOOKUP(R38,Taxrate!A:B,2,FALSE)</f>
        <v>0.12</v>
      </c>
      <c r="Y38" s="15">
        <f t="shared" si="6"/>
        <v>1004.2271999999999</v>
      </c>
      <c r="Z38" s="9">
        <f>VLOOKUP(M38,'Discount Rate'!A:B,2,FALSE)</f>
        <v>0.1</v>
      </c>
      <c r="AA38" s="11">
        <f t="shared" si="7"/>
        <v>836.85599999999999</v>
      </c>
      <c r="AB38" s="15">
        <f t="shared" si="8"/>
        <v>6527.4767999999995</v>
      </c>
      <c r="AC38" s="15">
        <f t="shared" si="9"/>
        <v>2927.4767999999995</v>
      </c>
    </row>
    <row r="39" spans="1:29" x14ac:dyDescent="0.35">
      <c r="A39" t="s">
        <v>164</v>
      </c>
      <c r="B39" t="s">
        <v>165</v>
      </c>
      <c r="C39" t="s">
        <v>139</v>
      </c>
      <c r="D39" t="s">
        <v>25</v>
      </c>
      <c r="E39" s="1">
        <v>45020</v>
      </c>
      <c r="F39" s="24">
        <f t="shared" si="0"/>
        <v>2023</v>
      </c>
      <c r="G39" s="24" t="str">
        <f t="shared" si="1"/>
        <v>April</v>
      </c>
      <c r="H39" s="24" t="str">
        <f t="shared" si="2"/>
        <v>Tuesday</v>
      </c>
      <c r="I39" s="22">
        <v>0.67967592592592596</v>
      </c>
      <c r="J39" s="24">
        <f t="shared" si="3"/>
        <v>16</v>
      </c>
      <c r="K39" s="24">
        <f t="shared" si="4"/>
        <v>18</v>
      </c>
      <c r="L39" s="24">
        <f t="shared" si="5"/>
        <v>44</v>
      </c>
      <c r="M39" t="s">
        <v>26</v>
      </c>
      <c r="N39" t="s">
        <v>27</v>
      </c>
      <c r="O39" s="24">
        <v>13</v>
      </c>
      <c r="P39" s="11">
        <v>741.82</v>
      </c>
      <c r="Q39" s="26">
        <f>VLOOKUP('Prepared Sales Dataset'!M39,'Product-cost'!A:B,2,FALSE)</f>
        <v>300</v>
      </c>
      <c r="R39" t="s">
        <v>59</v>
      </c>
      <c r="S39" t="s">
        <v>155</v>
      </c>
      <c r="T39" t="s">
        <v>166</v>
      </c>
      <c r="U39" t="s">
        <v>921</v>
      </c>
      <c r="V39" s="17">
        <f>P39*O39</f>
        <v>9643.66</v>
      </c>
      <c r="W39" s="19">
        <f>O39*Q39</f>
        <v>3900</v>
      </c>
      <c r="X39" s="13">
        <f>VLOOKUP(R39,Taxrate!A:B,2,FALSE)</f>
        <v>0.12</v>
      </c>
      <c r="Y39" s="15">
        <f t="shared" si="6"/>
        <v>1157.2392</v>
      </c>
      <c r="Z39" s="9">
        <f>VLOOKUP(M39,'Discount Rate'!A:B,2,FALSE)</f>
        <v>0.1</v>
      </c>
      <c r="AA39" s="11">
        <f t="shared" si="7"/>
        <v>964.36599999999999</v>
      </c>
      <c r="AB39" s="15">
        <f t="shared" si="8"/>
        <v>7522.0547999999999</v>
      </c>
      <c r="AC39" s="15">
        <f t="shared" si="9"/>
        <v>3622.0547999999999</v>
      </c>
    </row>
    <row r="40" spans="1:29" x14ac:dyDescent="0.35">
      <c r="A40" t="s">
        <v>167</v>
      </c>
      <c r="B40" t="s">
        <v>168</v>
      </c>
      <c r="C40" t="s">
        <v>169</v>
      </c>
      <c r="D40" t="s">
        <v>170</v>
      </c>
      <c r="E40" s="1">
        <v>45078</v>
      </c>
      <c r="F40" s="24">
        <f t="shared" si="0"/>
        <v>2023</v>
      </c>
      <c r="G40" s="24" t="str">
        <f t="shared" si="1"/>
        <v>June</v>
      </c>
      <c r="H40" s="24" t="str">
        <f t="shared" si="2"/>
        <v>Thursday</v>
      </c>
      <c r="I40" s="22">
        <v>0.42350694444444442</v>
      </c>
      <c r="J40" s="24">
        <f t="shared" si="3"/>
        <v>10</v>
      </c>
      <c r="K40" s="24">
        <f t="shared" si="4"/>
        <v>9</v>
      </c>
      <c r="L40" s="24">
        <f t="shared" si="5"/>
        <v>51</v>
      </c>
      <c r="M40" t="s">
        <v>49</v>
      </c>
      <c r="N40" t="s">
        <v>50</v>
      </c>
      <c r="O40" s="24">
        <v>2</v>
      </c>
      <c r="P40" s="11">
        <v>189.03</v>
      </c>
      <c r="Q40" s="26">
        <f>VLOOKUP('Prepared Sales Dataset'!M40,'Product-cost'!A:B,2,FALSE)</f>
        <v>150</v>
      </c>
      <c r="R40" t="s">
        <v>42</v>
      </c>
      <c r="S40" t="s">
        <v>171</v>
      </c>
      <c r="T40" t="s">
        <v>172</v>
      </c>
      <c r="U40" t="s">
        <v>921</v>
      </c>
      <c r="V40" s="17">
        <f>P40*O40</f>
        <v>378.06</v>
      </c>
      <c r="W40" s="19">
        <f>O40*Q40</f>
        <v>300</v>
      </c>
      <c r="X40" s="13">
        <f>VLOOKUP(R40,Taxrate!A:B,2,FALSE)</f>
        <v>0.15</v>
      </c>
      <c r="Y40" s="15">
        <f t="shared" si="6"/>
        <v>56.708999999999996</v>
      </c>
      <c r="Z40" s="9">
        <f>VLOOKUP(M40,'Discount Rate'!A:B,2,FALSE)</f>
        <v>7.0000000000000007E-2</v>
      </c>
      <c r="AA40" s="11">
        <f t="shared" si="7"/>
        <v>26.464200000000002</v>
      </c>
      <c r="AB40" s="15">
        <f t="shared" si="8"/>
        <v>294.88679999999999</v>
      </c>
      <c r="AC40" s="15">
        <f t="shared" si="9"/>
        <v>-5.1132000000000062</v>
      </c>
    </row>
    <row r="41" spans="1:29" x14ac:dyDescent="0.35">
      <c r="A41" t="s">
        <v>173</v>
      </c>
      <c r="B41" t="s">
        <v>174</v>
      </c>
      <c r="C41" t="s">
        <v>106</v>
      </c>
      <c r="D41" t="s">
        <v>107</v>
      </c>
      <c r="E41" s="1">
        <v>46091</v>
      </c>
      <c r="F41" s="24">
        <f t="shared" si="0"/>
        <v>2026</v>
      </c>
      <c r="G41" s="24" t="str">
        <f t="shared" si="1"/>
        <v>March</v>
      </c>
      <c r="H41" s="24" t="str">
        <f t="shared" si="2"/>
        <v>Tuesday</v>
      </c>
      <c r="I41" s="22">
        <v>0.74104166666666671</v>
      </c>
      <c r="J41" s="24">
        <f t="shared" si="3"/>
        <v>17</v>
      </c>
      <c r="K41" s="24">
        <f t="shared" si="4"/>
        <v>47</v>
      </c>
      <c r="L41" s="24">
        <f t="shared" si="5"/>
        <v>6</v>
      </c>
      <c r="M41" t="s">
        <v>26</v>
      </c>
      <c r="N41" t="s">
        <v>27</v>
      </c>
      <c r="O41" s="24">
        <v>5</v>
      </c>
      <c r="P41" s="11">
        <v>527.12</v>
      </c>
      <c r="Q41" s="26">
        <f>VLOOKUP('Prepared Sales Dataset'!M41,'Product-cost'!A:B,2,FALSE)</f>
        <v>300</v>
      </c>
      <c r="R41" t="s">
        <v>35</v>
      </c>
      <c r="S41" t="s">
        <v>108</v>
      </c>
      <c r="T41" t="s">
        <v>103</v>
      </c>
      <c r="U41" t="s">
        <v>921</v>
      </c>
      <c r="V41" s="17">
        <f>P41*O41</f>
        <v>2635.6</v>
      </c>
      <c r="W41" s="19">
        <f>O41*Q41</f>
        <v>1500</v>
      </c>
      <c r="X41" s="13">
        <f>VLOOKUP(R41,Taxrate!A:B,2,FALSE)</f>
        <v>0.2</v>
      </c>
      <c r="Y41" s="15">
        <f t="shared" si="6"/>
        <v>527.12</v>
      </c>
      <c r="Z41" s="9">
        <f>VLOOKUP(M41,'Discount Rate'!A:B,2,FALSE)</f>
        <v>0.1</v>
      </c>
      <c r="AA41" s="11">
        <f t="shared" si="7"/>
        <v>263.56</v>
      </c>
      <c r="AB41" s="15">
        <f t="shared" si="8"/>
        <v>1844.9199999999998</v>
      </c>
      <c r="AC41" s="15">
        <f t="shared" si="9"/>
        <v>344.91999999999985</v>
      </c>
    </row>
    <row r="42" spans="1:29" x14ac:dyDescent="0.35">
      <c r="A42" t="s">
        <v>175</v>
      </c>
      <c r="B42" t="s">
        <v>176</v>
      </c>
      <c r="C42" t="s">
        <v>150</v>
      </c>
      <c r="D42" t="s">
        <v>25</v>
      </c>
      <c r="E42" s="1">
        <v>46334</v>
      </c>
      <c r="F42" s="24">
        <f t="shared" si="0"/>
        <v>2026</v>
      </c>
      <c r="G42" s="24" t="str">
        <f t="shared" si="1"/>
        <v>November</v>
      </c>
      <c r="H42" s="24" t="str">
        <f t="shared" si="2"/>
        <v>Sunday</v>
      </c>
      <c r="I42" s="22">
        <v>0.53530092592592593</v>
      </c>
      <c r="J42" s="24">
        <f t="shared" si="3"/>
        <v>12</v>
      </c>
      <c r="K42" s="24">
        <f t="shared" si="4"/>
        <v>50</v>
      </c>
      <c r="L42" s="24">
        <f t="shared" si="5"/>
        <v>50</v>
      </c>
      <c r="M42" t="s">
        <v>49</v>
      </c>
      <c r="N42" t="s">
        <v>50</v>
      </c>
      <c r="O42" s="24">
        <v>15</v>
      </c>
      <c r="P42" s="11">
        <v>188.63</v>
      </c>
      <c r="Q42" s="26">
        <f>VLOOKUP('Prepared Sales Dataset'!M42,'Product-cost'!A:B,2,FALSE)</f>
        <v>150</v>
      </c>
      <c r="R42" t="s">
        <v>35</v>
      </c>
      <c r="S42" t="s">
        <v>155</v>
      </c>
      <c r="U42" t="s">
        <v>923</v>
      </c>
      <c r="V42" s="17">
        <f>P42*O42</f>
        <v>2829.45</v>
      </c>
      <c r="W42" s="19">
        <f>O42*Q42</f>
        <v>2250</v>
      </c>
      <c r="X42" s="13">
        <f>VLOOKUP(R42,Taxrate!A:B,2,FALSE)</f>
        <v>0.2</v>
      </c>
      <c r="Y42" s="15">
        <f t="shared" si="6"/>
        <v>565.89</v>
      </c>
      <c r="Z42" s="9">
        <f>VLOOKUP(M42,'Discount Rate'!A:B,2,FALSE)</f>
        <v>7.0000000000000007E-2</v>
      </c>
      <c r="AA42" s="11">
        <f t="shared" si="7"/>
        <v>198.0615</v>
      </c>
      <c r="AB42" s="15">
        <f t="shared" si="8"/>
        <v>2065.4984999999997</v>
      </c>
      <c r="AC42" s="15">
        <f t="shared" si="9"/>
        <v>-184.50150000000031</v>
      </c>
    </row>
    <row r="43" spans="1:29" x14ac:dyDescent="0.35">
      <c r="A43" t="s">
        <v>177</v>
      </c>
      <c r="B43" t="s">
        <v>178</v>
      </c>
      <c r="C43" t="s">
        <v>179</v>
      </c>
      <c r="D43" t="s">
        <v>41</v>
      </c>
      <c r="E43" s="1">
        <v>45826</v>
      </c>
      <c r="F43" s="24">
        <f t="shared" si="0"/>
        <v>2025</v>
      </c>
      <c r="G43" s="24" t="str">
        <f t="shared" si="1"/>
        <v>June</v>
      </c>
      <c r="H43" s="24" t="str">
        <f t="shared" si="2"/>
        <v>Wednesday</v>
      </c>
      <c r="I43" s="22">
        <v>0.65577546296296296</v>
      </c>
      <c r="J43" s="24">
        <f t="shared" si="3"/>
        <v>15</v>
      </c>
      <c r="K43" s="24">
        <f t="shared" si="4"/>
        <v>44</v>
      </c>
      <c r="L43" s="24">
        <f t="shared" si="5"/>
        <v>19</v>
      </c>
      <c r="M43" t="s">
        <v>78</v>
      </c>
      <c r="N43" t="s">
        <v>79</v>
      </c>
      <c r="O43" s="24">
        <v>9</v>
      </c>
      <c r="P43" s="11">
        <v>152.83000000000001</v>
      </c>
      <c r="Q43" s="26">
        <f>VLOOKUP('Prepared Sales Dataset'!M43,'Product-cost'!A:B,2,FALSE)</f>
        <v>50</v>
      </c>
      <c r="R43" t="s">
        <v>59</v>
      </c>
      <c r="S43" t="s">
        <v>43</v>
      </c>
      <c r="U43" t="s">
        <v>923</v>
      </c>
      <c r="V43" s="17">
        <f>P43*O43</f>
        <v>1375.47</v>
      </c>
      <c r="W43" s="19">
        <f>O43*Q43</f>
        <v>450</v>
      </c>
      <c r="X43" s="13">
        <f>VLOOKUP(R43,Taxrate!A:B,2,FALSE)</f>
        <v>0.12</v>
      </c>
      <c r="Y43" s="15">
        <f t="shared" si="6"/>
        <v>165.0564</v>
      </c>
      <c r="Z43" s="9">
        <f>VLOOKUP(M43,'Discount Rate'!A:B,2,FALSE)</f>
        <v>0.03</v>
      </c>
      <c r="AA43" s="11">
        <f t="shared" si="7"/>
        <v>41.264099999999999</v>
      </c>
      <c r="AB43" s="15">
        <f t="shared" si="8"/>
        <v>1169.1495</v>
      </c>
      <c r="AC43" s="15">
        <f t="shared" si="9"/>
        <v>719.14949999999999</v>
      </c>
    </row>
    <row r="44" spans="1:29" x14ac:dyDescent="0.35">
      <c r="A44" t="s">
        <v>181</v>
      </c>
      <c r="B44" t="s">
        <v>132</v>
      </c>
      <c r="C44" t="s">
        <v>179</v>
      </c>
      <c r="D44" t="s">
        <v>41</v>
      </c>
      <c r="E44" s="1">
        <v>46303</v>
      </c>
      <c r="F44" s="24">
        <f t="shared" si="0"/>
        <v>2026</v>
      </c>
      <c r="G44" s="24" t="str">
        <f t="shared" si="1"/>
        <v>October</v>
      </c>
      <c r="H44" s="24" t="str">
        <f t="shared" si="2"/>
        <v>Thursday</v>
      </c>
      <c r="I44" s="22">
        <v>0.71027777777777779</v>
      </c>
      <c r="J44" s="24">
        <f t="shared" si="3"/>
        <v>17</v>
      </c>
      <c r="K44" s="24">
        <f t="shared" si="4"/>
        <v>2</v>
      </c>
      <c r="L44" s="24">
        <f t="shared" si="5"/>
        <v>48</v>
      </c>
      <c r="M44" t="s">
        <v>26</v>
      </c>
      <c r="N44" t="s">
        <v>27</v>
      </c>
      <c r="O44" s="24">
        <v>11</v>
      </c>
      <c r="P44" s="11">
        <v>563.45000000000005</v>
      </c>
      <c r="Q44" s="26">
        <f>VLOOKUP('Prepared Sales Dataset'!M44,'Product-cost'!A:B,2,FALSE)</f>
        <v>300</v>
      </c>
      <c r="R44" t="s">
        <v>59</v>
      </c>
      <c r="S44" t="s">
        <v>90</v>
      </c>
      <c r="T44" t="s">
        <v>103</v>
      </c>
      <c r="U44" t="s">
        <v>921</v>
      </c>
      <c r="V44" s="17">
        <f>P44*O44</f>
        <v>6197.9500000000007</v>
      </c>
      <c r="W44" s="19">
        <f>O44*Q44</f>
        <v>3300</v>
      </c>
      <c r="X44" s="13">
        <f>VLOOKUP(R44,Taxrate!A:B,2,FALSE)</f>
        <v>0.12</v>
      </c>
      <c r="Y44" s="15">
        <f t="shared" si="6"/>
        <v>743.75400000000002</v>
      </c>
      <c r="Z44" s="9">
        <f>VLOOKUP(M44,'Discount Rate'!A:B,2,FALSE)</f>
        <v>0.1</v>
      </c>
      <c r="AA44" s="11">
        <f t="shared" si="7"/>
        <v>619.79500000000007</v>
      </c>
      <c r="AB44" s="15">
        <f t="shared" si="8"/>
        <v>4834.4010000000007</v>
      </c>
      <c r="AC44" s="15">
        <f t="shared" si="9"/>
        <v>1534.4010000000007</v>
      </c>
    </row>
    <row r="45" spans="1:29" x14ac:dyDescent="0.35">
      <c r="A45" t="s">
        <v>182</v>
      </c>
      <c r="B45" t="s">
        <v>183</v>
      </c>
      <c r="C45" t="s">
        <v>62</v>
      </c>
      <c r="D45" t="s">
        <v>63</v>
      </c>
      <c r="E45" s="1">
        <v>45770</v>
      </c>
      <c r="F45" s="24">
        <f t="shared" si="0"/>
        <v>2025</v>
      </c>
      <c r="G45" s="24" t="str">
        <f t="shared" si="1"/>
        <v>April</v>
      </c>
      <c r="H45" s="24" t="str">
        <f t="shared" si="2"/>
        <v>Wednesday</v>
      </c>
      <c r="I45" s="22">
        <v>0.52945601851851853</v>
      </c>
      <c r="J45" s="24">
        <f t="shared" si="3"/>
        <v>12</v>
      </c>
      <c r="K45" s="24">
        <f t="shared" si="4"/>
        <v>42</v>
      </c>
      <c r="L45" s="24">
        <f t="shared" si="5"/>
        <v>25</v>
      </c>
      <c r="M45" t="s">
        <v>49</v>
      </c>
      <c r="N45" t="s">
        <v>50</v>
      </c>
      <c r="O45" s="24">
        <v>8</v>
      </c>
      <c r="P45" s="11">
        <v>506</v>
      </c>
      <c r="Q45" s="26">
        <f>VLOOKUP('Prepared Sales Dataset'!M45,'Product-cost'!A:B,2,FALSE)</f>
        <v>150</v>
      </c>
      <c r="R45" t="s">
        <v>28</v>
      </c>
      <c r="S45" t="s">
        <v>80</v>
      </c>
      <c r="T45" t="s">
        <v>172</v>
      </c>
      <c r="U45" t="s">
        <v>921</v>
      </c>
      <c r="V45" s="17">
        <f>P45*O45</f>
        <v>4048</v>
      </c>
      <c r="W45" s="19">
        <f>O45*Q45</f>
        <v>1200</v>
      </c>
      <c r="X45" s="13">
        <f>VLOOKUP(R45,Taxrate!A:B,2,FALSE)</f>
        <v>0.1</v>
      </c>
      <c r="Y45" s="15">
        <f t="shared" si="6"/>
        <v>404.8</v>
      </c>
      <c r="Z45" s="9">
        <f>VLOOKUP(M45,'Discount Rate'!A:B,2,FALSE)</f>
        <v>7.0000000000000007E-2</v>
      </c>
      <c r="AA45" s="11">
        <f t="shared" si="7"/>
        <v>283.36</v>
      </c>
      <c r="AB45" s="15">
        <f t="shared" si="8"/>
        <v>3359.84</v>
      </c>
      <c r="AC45" s="15">
        <f t="shared" si="9"/>
        <v>2159.84</v>
      </c>
    </row>
    <row r="46" spans="1:29" x14ac:dyDescent="0.35">
      <c r="A46" t="s">
        <v>185</v>
      </c>
      <c r="B46" t="s">
        <v>186</v>
      </c>
      <c r="C46" t="s">
        <v>106</v>
      </c>
      <c r="D46" t="s">
        <v>107</v>
      </c>
      <c r="E46" s="1">
        <v>45311</v>
      </c>
      <c r="F46" s="24">
        <f t="shared" si="0"/>
        <v>2024</v>
      </c>
      <c r="G46" s="24" t="str">
        <f t="shared" si="1"/>
        <v>January</v>
      </c>
      <c r="H46" s="24" t="str">
        <f t="shared" si="2"/>
        <v>Saturday</v>
      </c>
      <c r="I46" s="22">
        <v>0.74202546296296301</v>
      </c>
      <c r="J46" s="24">
        <f t="shared" si="3"/>
        <v>17</v>
      </c>
      <c r="K46" s="24">
        <f t="shared" si="4"/>
        <v>48</v>
      </c>
      <c r="L46" s="24">
        <f t="shared" si="5"/>
        <v>31</v>
      </c>
      <c r="M46" t="s">
        <v>78</v>
      </c>
      <c r="N46" t="s">
        <v>79</v>
      </c>
      <c r="O46" s="24">
        <v>4</v>
      </c>
      <c r="P46" s="11">
        <v>129.83000000000001</v>
      </c>
      <c r="Q46" s="26">
        <f>VLOOKUP('Prepared Sales Dataset'!M46,'Product-cost'!A:B,2,FALSE)</f>
        <v>50</v>
      </c>
      <c r="R46" t="s">
        <v>28</v>
      </c>
      <c r="S46" t="s">
        <v>112</v>
      </c>
      <c r="T46" t="s">
        <v>44</v>
      </c>
      <c r="U46" t="s">
        <v>921</v>
      </c>
      <c r="V46" s="17">
        <f>P46*O46</f>
        <v>519.32000000000005</v>
      </c>
      <c r="W46" s="19">
        <f>O46*Q46</f>
        <v>200</v>
      </c>
      <c r="X46" s="13">
        <f>VLOOKUP(R46,Taxrate!A:B,2,FALSE)</f>
        <v>0.1</v>
      </c>
      <c r="Y46" s="15">
        <f t="shared" si="6"/>
        <v>51.932000000000009</v>
      </c>
      <c r="Z46" s="9">
        <f>VLOOKUP(M46,'Discount Rate'!A:B,2,FALSE)</f>
        <v>0.03</v>
      </c>
      <c r="AA46" s="11">
        <f t="shared" si="7"/>
        <v>15.579600000000001</v>
      </c>
      <c r="AB46" s="15">
        <f t="shared" si="8"/>
        <v>451.80840000000001</v>
      </c>
      <c r="AC46" s="15">
        <f t="shared" si="9"/>
        <v>251.80840000000001</v>
      </c>
    </row>
    <row r="47" spans="1:29" x14ac:dyDescent="0.35">
      <c r="A47" t="s">
        <v>188</v>
      </c>
      <c r="B47" t="s">
        <v>189</v>
      </c>
      <c r="C47" t="s">
        <v>70</v>
      </c>
      <c r="D47" t="s">
        <v>71</v>
      </c>
      <c r="E47" s="1">
        <v>45159</v>
      </c>
      <c r="F47" s="24">
        <f t="shared" si="0"/>
        <v>2023</v>
      </c>
      <c r="G47" s="24" t="str">
        <f t="shared" si="1"/>
        <v>August</v>
      </c>
      <c r="H47" s="24" t="str">
        <f t="shared" si="2"/>
        <v>Monday</v>
      </c>
      <c r="I47" s="22">
        <v>0.40408564814814812</v>
      </c>
      <c r="J47" s="24">
        <f t="shared" si="3"/>
        <v>9</v>
      </c>
      <c r="K47" s="24">
        <f t="shared" si="4"/>
        <v>41</v>
      </c>
      <c r="L47" s="24">
        <f t="shared" si="5"/>
        <v>53</v>
      </c>
      <c r="M47" t="s">
        <v>26</v>
      </c>
      <c r="N47" t="s">
        <v>27</v>
      </c>
      <c r="O47" s="24">
        <v>12</v>
      </c>
      <c r="P47" s="11">
        <v>691.62</v>
      </c>
      <c r="Q47" s="26">
        <f>VLOOKUP('Prepared Sales Dataset'!M47,'Product-cost'!A:B,2,FALSE)</f>
        <v>300</v>
      </c>
      <c r="R47" t="s">
        <v>42</v>
      </c>
      <c r="S47" t="s">
        <v>190</v>
      </c>
      <c r="T47" t="s">
        <v>109</v>
      </c>
      <c r="U47" t="s">
        <v>923</v>
      </c>
      <c r="V47" s="17">
        <f>P47*O47</f>
        <v>8299.44</v>
      </c>
      <c r="W47" s="19">
        <f>O47*Q47</f>
        <v>3600</v>
      </c>
      <c r="X47" s="13">
        <f>VLOOKUP(R47,Taxrate!A:B,2,FALSE)</f>
        <v>0.15</v>
      </c>
      <c r="Y47" s="15">
        <f t="shared" si="6"/>
        <v>1244.9159999999999</v>
      </c>
      <c r="Z47" s="9">
        <f>VLOOKUP(M47,'Discount Rate'!A:B,2,FALSE)</f>
        <v>0.1</v>
      </c>
      <c r="AA47" s="11">
        <f t="shared" si="7"/>
        <v>829.94400000000007</v>
      </c>
      <c r="AB47" s="15">
        <f t="shared" si="8"/>
        <v>6224.58</v>
      </c>
      <c r="AC47" s="15">
        <f t="shared" si="9"/>
        <v>2624.58</v>
      </c>
    </row>
    <row r="48" spans="1:29" x14ac:dyDescent="0.35">
      <c r="A48" t="s">
        <v>191</v>
      </c>
      <c r="B48" t="s">
        <v>192</v>
      </c>
      <c r="C48" t="s">
        <v>70</v>
      </c>
      <c r="D48" t="s">
        <v>71</v>
      </c>
      <c r="E48" s="1">
        <v>45776</v>
      </c>
      <c r="F48" s="24">
        <f t="shared" si="0"/>
        <v>2025</v>
      </c>
      <c r="G48" s="24" t="str">
        <f t="shared" si="1"/>
        <v>April</v>
      </c>
      <c r="H48" s="24" t="str">
        <f t="shared" si="2"/>
        <v>Tuesday</v>
      </c>
      <c r="I48" s="22">
        <v>0.85575231481481484</v>
      </c>
      <c r="J48" s="24">
        <f t="shared" si="3"/>
        <v>20</v>
      </c>
      <c r="K48" s="24">
        <f t="shared" si="4"/>
        <v>32</v>
      </c>
      <c r="L48" s="24">
        <f t="shared" si="5"/>
        <v>17</v>
      </c>
      <c r="M48" t="s">
        <v>17</v>
      </c>
      <c r="N48" t="s">
        <v>18</v>
      </c>
      <c r="O48" s="24">
        <v>5</v>
      </c>
      <c r="P48" s="11">
        <v>1089.96</v>
      </c>
      <c r="Q48" s="26">
        <f>VLOOKUP('Prepared Sales Dataset'!M48,'Product-cost'!A:B,2,FALSE)</f>
        <v>600</v>
      </c>
      <c r="R48" t="s">
        <v>42</v>
      </c>
      <c r="S48" t="s">
        <v>73</v>
      </c>
      <c r="T48" t="s">
        <v>133</v>
      </c>
      <c r="U48" t="s">
        <v>921</v>
      </c>
      <c r="V48" s="17">
        <f>P48*O48</f>
        <v>5449.8</v>
      </c>
      <c r="W48" s="19">
        <f>O48*Q48</f>
        <v>3000</v>
      </c>
      <c r="X48" s="13">
        <f>VLOOKUP(R48,Taxrate!A:B,2,FALSE)</f>
        <v>0.15</v>
      </c>
      <c r="Y48" s="15">
        <f t="shared" si="6"/>
        <v>817.47</v>
      </c>
      <c r="Z48" s="9">
        <f>VLOOKUP(M48,'Discount Rate'!A:B,2,FALSE)</f>
        <v>0.05</v>
      </c>
      <c r="AA48" s="11">
        <f t="shared" si="7"/>
        <v>272.49</v>
      </c>
      <c r="AB48" s="15">
        <f t="shared" si="8"/>
        <v>4359.84</v>
      </c>
      <c r="AC48" s="15">
        <f t="shared" si="9"/>
        <v>1359.8400000000001</v>
      </c>
    </row>
    <row r="49" spans="1:29" x14ac:dyDescent="0.35">
      <c r="A49" t="s">
        <v>193</v>
      </c>
      <c r="B49" t="s">
        <v>194</v>
      </c>
      <c r="C49" t="s">
        <v>195</v>
      </c>
      <c r="D49" t="s">
        <v>63</v>
      </c>
      <c r="E49" s="1">
        <v>46098</v>
      </c>
      <c r="F49" s="24">
        <f t="shared" si="0"/>
        <v>2026</v>
      </c>
      <c r="G49" s="24" t="str">
        <f t="shared" si="1"/>
        <v>March</v>
      </c>
      <c r="H49" s="24" t="str">
        <f t="shared" si="2"/>
        <v>Tuesday</v>
      </c>
      <c r="I49" s="22">
        <v>0.49640046296296297</v>
      </c>
      <c r="J49" s="24">
        <f t="shared" si="3"/>
        <v>11</v>
      </c>
      <c r="K49" s="24">
        <f t="shared" si="4"/>
        <v>54</v>
      </c>
      <c r="L49" s="24">
        <f t="shared" si="5"/>
        <v>49</v>
      </c>
      <c r="M49" t="s">
        <v>78</v>
      </c>
      <c r="N49" t="s">
        <v>79</v>
      </c>
      <c r="O49" s="24">
        <v>8</v>
      </c>
      <c r="P49" s="11">
        <v>172.89</v>
      </c>
      <c r="Q49" s="26">
        <f>VLOOKUP('Prepared Sales Dataset'!M49,'Product-cost'!A:B,2,FALSE)</f>
        <v>50</v>
      </c>
      <c r="R49" t="s">
        <v>42</v>
      </c>
      <c r="S49" t="s">
        <v>64</v>
      </c>
      <c r="T49" t="s">
        <v>109</v>
      </c>
      <c r="U49" t="s">
        <v>923</v>
      </c>
      <c r="V49" s="17">
        <f>P49*O49</f>
        <v>1383.12</v>
      </c>
      <c r="W49" s="19">
        <f>O49*Q49</f>
        <v>400</v>
      </c>
      <c r="X49" s="13">
        <f>VLOOKUP(R49,Taxrate!A:B,2,FALSE)</f>
        <v>0.15</v>
      </c>
      <c r="Y49" s="15">
        <f t="shared" si="6"/>
        <v>207.46799999999999</v>
      </c>
      <c r="Z49" s="9">
        <f>VLOOKUP(M49,'Discount Rate'!A:B,2,FALSE)</f>
        <v>0.03</v>
      </c>
      <c r="AA49" s="11">
        <f t="shared" si="7"/>
        <v>41.493599999999994</v>
      </c>
      <c r="AB49" s="15">
        <f t="shared" si="8"/>
        <v>1134.1583999999998</v>
      </c>
      <c r="AC49" s="15">
        <f t="shared" si="9"/>
        <v>734.1583999999998</v>
      </c>
    </row>
    <row r="50" spans="1:29" x14ac:dyDescent="0.35">
      <c r="A50" t="s">
        <v>197</v>
      </c>
      <c r="B50" t="s">
        <v>198</v>
      </c>
      <c r="C50" t="s">
        <v>88</v>
      </c>
      <c r="D50" t="s">
        <v>41</v>
      </c>
      <c r="E50" s="1">
        <v>45828</v>
      </c>
      <c r="F50" s="24">
        <f t="shared" si="0"/>
        <v>2025</v>
      </c>
      <c r="G50" s="24" t="str">
        <f t="shared" si="1"/>
        <v>June</v>
      </c>
      <c r="H50" s="24" t="str">
        <f t="shared" si="2"/>
        <v>Friday</v>
      </c>
      <c r="I50" s="22">
        <v>0.70728009259259261</v>
      </c>
      <c r="J50" s="24">
        <f t="shared" si="3"/>
        <v>16</v>
      </c>
      <c r="K50" s="24">
        <f t="shared" si="4"/>
        <v>58</v>
      </c>
      <c r="L50" s="24">
        <f t="shared" si="5"/>
        <v>29</v>
      </c>
      <c r="M50" t="s">
        <v>17</v>
      </c>
      <c r="N50" t="s">
        <v>18</v>
      </c>
      <c r="O50" s="24">
        <v>7</v>
      </c>
      <c r="P50" s="11">
        <v>1284.98</v>
      </c>
      <c r="Q50" s="26">
        <f>VLOOKUP('Prepared Sales Dataset'!M50,'Product-cost'!A:B,2,FALSE)</f>
        <v>600</v>
      </c>
      <c r="R50" t="s">
        <v>55</v>
      </c>
      <c r="S50" t="s">
        <v>90</v>
      </c>
      <c r="T50" t="s">
        <v>142</v>
      </c>
      <c r="U50" t="s">
        <v>921</v>
      </c>
      <c r="V50" s="17">
        <f>P50*O50</f>
        <v>8994.86</v>
      </c>
      <c r="W50" s="19">
        <f>O50*Q50</f>
        <v>4200</v>
      </c>
      <c r="X50" s="13">
        <f>VLOOKUP(R50,Taxrate!A:B,2,FALSE)</f>
        <v>7.0000000000000007E-2</v>
      </c>
      <c r="Y50" s="15">
        <f t="shared" si="6"/>
        <v>629.64020000000005</v>
      </c>
      <c r="Z50" s="9">
        <f>VLOOKUP(M50,'Discount Rate'!A:B,2,FALSE)</f>
        <v>0.05</v>
      </c>
      <c r="AA50" s="11">
        <f t="shared" si="7"/>
        <v>449.74300000000005</v>
      </c>
      <c r="AB50" s="15">
        <f t="shared" si="8"/>
        <v>7915.4768000000004</v>
      </c>
      <c r="AC50" s="15">
        <f t="shared" si="9"/>
        <v>3715.4768000000004</v>
      </c>
    </row>
    <row r="51" spans="1:29" x14ac:dyDescent="0.35">
      <c r="A51" t="s">
        <v>199</v>
      </c>
      <c r="B51" t="s">
        <v>200</v>
      </c>
      <c r="C51" t="s">
        <v>67</v>
      </c>
      <c r="D51" t="s">
        <v>16</v>
      </c>
      <c r="E51" s="1">
        <v>45575</v>
      </c>
      <c r="F51" s="24">
        <f t="shared" si="0"/>
        <v>2024</v>
      </c>
      <c r="G51" s="24" t="str">
        <f t="shared" si="1"/>
        <v>October</v>
      </c>
      <c r="H51" s="24" t="str">
        <f t="shared" si="2"/>
        <v>Thursday</v>
      </c>
      <c r="I51" s="22">
        <v>0.89863425925925922</v>
      </c>
      <c r="J51" s="24">
        <f t="shared" si="3"/>
        <v>21</v>
      </c>
      <c r="K51" s="24">
        <f t="shared" si="4"/>
        <v>34</v>
      </c>
      <c r="L51" s="24">
        <f t="shared" si="5"/>
        <v>2</v>
      </c>
      <c r="M51" t="s">
        <v>49</v>
      </c>
      <c r="N51" t="s">
        <v>50</v>
      </c>
      <c r="O51" s="24">
        <v>8</v>
      </c>
      <c r="P51" s="11">
        <v>277.3</v>
      </c>
      <c r="Q51" s="26">
        <f>VLOOKUP('Prepared Sales Dataset'!M51,'Product-cost'!A:B,2,FALSE)</f>
        <v>150</v>
      </c>
      <c r="R51" t="s">
        <v>35</v>
      </c>
      <c r="S51" t="s">
        <v>20</v>
      </c>
      <c r="T51" t="s">
        <v>37</v>
      </c>
      <c r="U51" t="s">
        <v>921</v>
      </c>
      <c r="V51" s="17">
        <f>P51*O51</f>
        <v>2218.4</v>
      </c>
      <c r="W51" s="19">
        <f>O51*Q51</f>
        <v>1200</v>
      </c>
      <c r="X51" s="13">
        <f>VLOOKUP(R51,Taxrate!A:B,2,FALSE)</f>
        <v>0.2</v>
      </c>
      <c r="Y51" s="15">
        <f t="shared" si="6"/>
        <v>443.68000000000006</v>
      </c>
      <c r="Z51" s="9">
        <f>VLOOKUP(M51,'Discount Rate'!A:B,2,FALSE)</f>
        <v>7.0000000000000007E-2</v>
      </c>
      <c r="AA51" s="11">
        <f t="shared" si="7"/>
        <v>155.28800000000001</v>
      </c>
      <c r="AB51" s="15">
        <f t="shared" si="8"/>
        <v>1619.432</v>
      </c>
      <c r="AC51" s="15">
        <f t="shared" si="9"/>
        <v>419.43200000000002</v>
      </c>
    </row>
    <row r="52" spans="1:29" x14ac:dyDescent="0.35">
      <c r="A52" t="s">
        <v>201</v>
      </c>
      <c r="B52" t="s">
        <v>202</v>
      </c>
      <c r="C52" t="s">
        <v>88</v>
      </c>
      <c r="D52" t="s">
        <v>41</v>
      </c>
      <c r="E52" s="1">
        <v>45527</v>
      </c>
      <c r="F52" s="24">
        <f t="shared" si="0"/>
        <v>2024</v>
      </c>
      <c r="G52" s="24" t="str">
        <f t="shared" si="1"/>
        <v>August</v>
      </c>
      <c r="H52" s="24" t="str">
        <f t="shared" si="2"/>
        <v>Friday</v>
      </c>
      <c r="I52" s="22">
        <v>0.56052083333333336</v>
      </c>
      <c r="J52" s="24">
        <f t="shared" si="3"/>
        <v>13</v>
      </c>
      <c r="K52" s="24">
        <f t="shared" si="4"/>
        <v>27</v>
      </c>
      <c r="L52" s="24">
        <f t="shared" si="5"/>
        <v>9</v>
      </c>
      <c r="M52" t="s">
        <v>26</v>
      </c>
      <c r="N52" t="s">
        <v>27</v>
      </c>
      <c r="O52" s="24">
        <v>10</v>
      </c>
      <c r="P52" s="11">
        <v>534.02</v>
      </c>
      <c r="Q52" s="26">
        <f>VLOOKUP('Prepared Sales Dataset'!M52,'Product-cost'!A:B,2,FALSE)</f>
        <v>300</v>
      </c>
      <c r="R52" t="s">
        <v>35</v>
      </c>
      <c r="S52" t="s">
        <v>90</v>
      </c>
      <c r="T52" t="s">
        <v>44</v>
      </c>
      <c r="U52" t="s">
        <v>921</v>
      </c>
      <c r="V52" s="17">
        <f>P52*O52</f>
        <v>5340.2</v>
      </c>
      <c r="W52" s="19">
        <f>O52*Q52</f>
        <v>3000</v>
      </c>
      <c r="X52" s="13">
        <f>VLOOKUP(R52,Taxrate!A:B,2,FALSE)</f>
        <v>0.2</v>
      </c>
      <c r="Y52" s="15">
        <f t="shared" si="6"/>
        <v>1068.04</v>
      </c>
      <c r="Z52" s="9">
        <f>VLOOKUP(M52,'Discount Rate'!A:B,2,FALSE)</f>
        <v>0.1</v>
      </c>
      <c r="AA52" s="11">
        <f t="shared" si="7"/>
        <v>534.02</v>
      </c>
      <c r="AB52" s="15">
        <f t="shared" si="8"/>
        <v>3738.14</v>
      </c>
      <c r="AC52" s="15">
        <f t="shared" si="9"/>
        <v>738.13999999999987</v>
      </c>
    </row>
    <row r="53" spans="1:29" x14ac:dyDescent="0.35">
      <c r="A53" t="s">
        <v>203</v>
      </c>
      <c r="B53" t="s">
        <v>204</v>
      </c>
      <c r="C53" t="s">
        <v>205</v>
      </c>
      <c r="D53" t="s">
        <v>170</v>
      </c>
      <c r="E53" s="1">
        <v>45449</v>
      </c>
      <c r="F53" s="24">
        <f t="shared" si="0"/>
        <v>2024</v>
      </c>
      <c r="G53" s="24" t="str">
        <f t="shared" si="1"/>
        <v>June</v>
      </c>
      <c r="H53" s="24" t="str">
        <f t="shared" si="2"/>
        <v>Thursday</v>
      </c>
      <c r="I53" s="22">
        <v>0.8541319444444444</v>
      </c>
      <c r="J53" s="24">
        <f t="shared" si="3"/>
        <v>20</v>
      </c>
      <c r="K53" s="24">
        <f t="shared" si="4"/>
        <v>29</v>
      </c>
      <c r="L53" s="24">
        <f t="shared" si="5"/>
        <v>57</v>
      </c>
      <c r="M53" t="s">
        <v>33</v>
      </c>
      <c r="N53" t="s">
        <v>34</v>
      </c>
      <c r="O53" s="24">
        <v>3</v>
      </c>
      <c r="P53" s="11">
        <v>506</v>
      </c>
      <c r="Q53" s="26">
        <f>VLOOKUP('Prepared Sales Dataset'!M53,'Product-cost'!A:B,2,FALSE)</f>
        <v>200</v>
      </c>
      <c r="R53" t="s">
        <v>28</v>
      </c>
      <c r="S53" t="s">
        <v>171</v>
      </c>
      <c r="U53" t="s">
        <v>923</v>
      </c>
      <c r="V53" s="17">
        <f>P53*O53</f>
        <v>1518</v>
      </c>
      <c r="W53" s="19">
        <f>O53*Q53</f>
        <v>600</v>
      </c>
      <c r="X53" s="13">
        <f>VLOOKUP(R53,Taxrate!A:B,2,FALSE)</f>
        <v>0.1</v>
      </c>
      <c r="Y53" s="15">
        <f t="shared" si="6"/>
        <v>151.80000000000001</v>
      </c>
      <c r="Z53" s="9">
        <f>VLOOKUP(M53,'Discount Rate'!A:B,2,FALSE)</f>
        <v>0.08</v>
      </c>
      <c r="AA53" s="11">
        <f t="shared" si="7"/>
        <v>121.44</v>
      </c>
      <c r="AB53" s="15">
        <f t="shared" si="8"/>
        <v>1244.76</v>
      </c>
      <c r="AC53" s="15">
        <f t="shared" si="9"/>
        <v>644.76</v>
      </c>
    </row>
    <row r="54" spans="1:29" x14ac:dyDescent="0.35">
      <c r="A54" t="s">
        <v>206</v>
      </c>
      <c r="B54" t="s">
        <v>207</v>
      </c>
      <c r="C54" t="s">
        <v>77</v>
      </c>
      <c r="D54" t="s">
        <v>63</v>
      </c>
      <c r="E54" s="1">
        <v>45412</v>
      </c>
      <c r="F54" s="24">
        <f t="shared" si="0"/>
        <v>2024</v>
      </c>
      <c r="G54" s="24" t="str">
        <f t="shared" si="1"/>
        <v>April</v>
      </c>
      <c r="H54" s="24" t="str">
        <f t="shared" si="2"/>
        <v>Tuesday</v>
      </c>
      <c r="I54" s="22">
        <v>0.72402777777777783</v>
      </c>
      <c r="J54" s="24">
        <f t="shared" si="3"/>
        <v>17</v>
      </c>
      <c r="K54" s="24">
        <f t="shared" si="4"/>
        <v>22</v>
      </c>
      <c r="L54" s="24">
        <f t="shared" si="5"/>
        <v>36</v>
      </c>
      <c r="M54" t="s">
        <v>33</v>
      </c>
      <c r="N54" t="s">
        <v>34</v>
      </c>
      <c r="O54" s="24">
        <v>5</v>
      </c>
      <c r="P54" s="11">
        <v>506</v>
      </c>
      <c r="Q54" s="26">
        <f>VLOOKUP('Prepared Sales Dataset'!M54,'Product-cost'!A:B,2,FALSE)</f>
        <v>200</v>
      </c>
      <c r="R54" t="s">
        <v>42</v>
      </c>
      <c r="S54" t="s">
        <v>80</v>
      </c>
      <c r="T54" t="s">
        <v>166</v>
      </c>
      <c r="U54" t="s">
        <v>921</v>
      </c>
      <c r="V54" s="17">
        <f>P54*O54</f>
        <v>2530</v>
      </c>
      <c r="W54" s="19">
        <f>O54*Q54</f>
        <v>1000</v>
      </c>
      <c r="X54" s="13">
        <f>VLOOKUP(R54,Taxrate!A:B,2,FALSE)</f>
        <v>0.15</v>
      </c>
      <c r="Y54" s="15">
        <f t="shared" si="6"/>
        <v>379.5</v>
      </c>
      <c r="Z54" s="9">
        <f>VLOOKUP(M54,'Discount Rate'!A:B,2,FALSE)</f>
        <v>0.08</v>
      </c>
      <c r="AA54" s="11">
        <f t="shared" si="7"/>
        <v>202.4</v>
      </c>
      <c r="AB54" s="15">
        <f t="shared" si="8"/>
        <v>1948.1</v>
      </c>
      <c r="AC54" s="15">
        <f t="shared" si="9"/>
        <v>948.09999999999991</v>
      </c>
    </row>
    <row r="55" spans="1:29" x14ac:dyDescent="0.35">
      <c r="A55" t="s">
        <v>208</v>
      </c>
      <c r="B55" t="s">
        <v>209</v>
      </c>
      <c r="C55" t="s">
        <v>24</v>
      </c>
      <c r="D55" t="s">
        <v>25</v>
      </c>
      <c r="E55" s="1">
        <v>45375</v>
      </c>
      <c r="F55" s="24">
        <f t="shared" si="0"/>
        <v>2024</v>
      </c>
      <c r="G55" s="24" t="str">
        <f t="shared" si="1"/>
        <v>March</v>
      </c>
      <c r="H55" s="24" t="str">
        <f t="shared" si="2"/>
        <v>Sunday</v>
      </c>
      <c r="I55" s="22">
        <v>0.71994212962962967</v>
      </c>
      <c r="J55" s="24">
        <f t="shared" si="3"/>
        <v>17</v>
      </c>
      <c r="K55" s="24">
        <f t="shared" si="4"/>
        <v>16</v>
      </c>
      <c r="L55" s="24">
        <f t="shared" si="5"/>
        <v>43</v>
      </c>
      <c r="M55" t="s">
        <v>26</v>
      </c>
      <c r="N55" t="s">
        <v>27</v>
      </c>
      <c r="O55" s="24">
        <v>15</v>
      </c>
      <c r="P55" s="11">
        <v>491.83</v>
      </c>
      <c r="Q55" s="26">
        <f>VLOOKUP('Prepared Sales Dataset'!M55,'Product-cost'!A:B,2,FALSE)</f>
        <v>300</v>
      </c>
      <c r="R55" t="s">
        <v>42</v>
      </c>
      <c r="S55" t="s">
        <v>29</v>
      </c>
      <c r="U55" t="s">
        <v>923</v>
      </c>
      <c r="V55" s="17">
        <f>P55*O55</f>
        <v>7377.45</v>
      </c>
      <c r="W55" s="19">
        <f>O55*Q55</f>
        <v>4500</v>
      </c>
      <c r="X55" s="13">
        <f>VLOOKUP(R55,Taxrate!A:B,2,FALSE)</f>
        <v>0.15</v>
      </c>
      <c r="Y55" s="15">
        <f t="shared" si="6"/>
        <v>1106.6174999999998</v>
      </c>
      <c r="Z55" s="9">
        <f>VLOOKUP(M55,'Discount Rate'!A:B,2,FALSE)</f>
        <v>0.1</v>
      </c>
      <c r="AA55" s="11">
        <f t="shared" si="7"/>
        <v>737.745</v>
      </c>
      <c r="AB55" s="15">
        <f t="shared" si="8"/>
        <v>5533.0874999999996</v>
      </c>
      <c r="AC55" s="15">
        <f t="shared" si="9"/>
        <v>1033.0874999999996</v>
      </c>
    </row>
    <row r="56" spans="1:29" x14ac:dyDescent="0.35">
      <c r="A56" t="s">
        <v>210</v>
      </c>
      <c r="B56" t="s">
        <v>211</v>
      </c>
      <c r="C56" t="s">
        <v>67</v>
      </c>
      <c r="D56" t="s">
        <v>16</v>
      </c>
      <c r="E56" s="1">
        <v>46014</v>
      </c>
      <c r="F56" s="24">
        <f t="shared" si="0"/>
        <v>2025</v>
      </c>
      <c r="G56" s="24" t="str">
        <f t="shared" si="1"/>
        <v>December</v>
      </c>
      <c r="H56" s="24" t="str">
        <f t="shared" si="2"/>
        <v>Tuesday</v>
      </c>
      <c r="I56" s="22">
        <v>0.8821296296296296</v>
      </c>
      <c r="J56" s="24">
        <f t="shared" si="3"/>
        <v>21</v>
      </c>
      <c r="K56" s="24">
        <f t="shared" si="4"/>
        <v>10</v>
      </c>
      <c r="L56" s="24">
        <f t="shared" si="5"/>
        <v>16</v>
      </c>
      <c r="M56" t="s">
        <v>78</v>
      </c>
      <c r="N56" t="s">
        <v>79</v>
      </c>
      <c r="O56" s="24">
        <v>5</v>
      </c>
      <c r="P56" s="11">
        <v>145.4</v>
      </c>
      <c r="Q56" s="26">
        <f>VLOOKUP('Prepared Sales Dataset'!M56,'Product-cost'!A:B,2,FALSE)</f>
        <v>50</v>
      </c>
      <c r="R56" t="s">
        <v>55</v>
      </c>
      <c r="S56" t="s">
        <v>20</v>
      </c>
      <c r="T56" t="s">
        <v>44</v>
      </c>
      <c r="U56" t="s">
        <v>921</v>
      </c>
      <c r="V56" s="17">
        <f>P56*O56</f>
        <v>727</v>
      </c>
      <c r="W56" s="19">
        <f>O56*Q56</f>
        <v>250</v>
      </c>
      <c r="X56" s="13">
        <f>VLOOKUP(R56,Taxrate!A:B,2,FALSE)</f>
        <v>7.0000000000000007E-2</v>
      </c>
      <c r="Y56" s="15">
        <f t="shared" si="6"/>
        <v>50.890000000000008</v>
      </c>
      <c r="Z56" s="9">
        <f>VLOOKUP(M56,'Discount Rate'!A:B,2,FALSE)</f>
        <v>0.03</v>
      </c>
      <c r="AA56" s="11">
        <f t="shared" si="7"/>
        <v>21.81</v>
      </c>
      <c r="AB56" s="15">
        <f t="shared" si="8"/>
        <v>654.29999999999995</v>
      </c>
      <c r="AC56" s="15">
        <f t="shared" si="9"/>
        <v>404.29999999999995</v>
      </c>
    </row>
    <row r="57" spans="1:29" x14ac:dyDescent="0.35">
      <c r="A57" t="s">
        <v>212</v>
      </c>
      <c r="B57" t="s">
        <v>213</v>
      </c>
      <c r="C57" t="s">
        <v>67</v>
      </c>
      <c r="D57" t="s">
        <v>16</v>
      </c>
      <c r="E57" s="1">
        <v>45111</v>
      </c>
      <c r="F57" s="24">
        <f t="shared" si="0"/>
        <v>2023</v>
      </c>
      <c r="G57" s="24" t="str">
        <f t="shared" si="1"/>
        <v>July</v>
      </c>
      <c r="H57" s="24" t="str">
        <f t="shared" si="2"/>
        <v>Tuesday</v>
      </c>
      <c r="I57" s="22">
        <v>0.34483796296296299</v>
      </c>
      <c r="J57" s="24">
        <f t="shared" si="3"/>
        <v>8</v>
      </c>
      <c r="K57" s="24">
        <f t="shared" si="4"/>
        <v>16</v>
      </c>
      <c r="L57" s="24">
        <f t="shared" si="5"/>
        <v>34</v>
      </c>
      <c r="M57" t="s">
        <v>17</v>
      </c>
      <c r="N57" t="s">
        <v>18</v>
      </c>
      <c r="O57" s="24">
        <v>11</v>
      </c>
      <c r="P57" s="11">
        <v>931.08</v>
      </c>
      <c r="Q57" s="26">
        <f>VLOOKUP('Prepared Sales Dataset'!M57,'Product-cost'!A:B,2,FALSE)</f>
        <v>600</v>
      </c>
      <c r="R57" t="s">
        <v>42</v>
      </c>
      <c r="S57" t="s">
        <v>20</v>
      </c>
      <c r="T57" t="s">
        <v>44</v>
      </c>
      <c r="U57" t="s">
        <v>921</v>
      </c>
      <c r="V57" s="17">
        <f>P57*O57</f>
        <v>10241.880000000001</v>
      </c>
      <c r="W57" s="19">
        <f>O57*Q57</f>
        <v>6600</v>
      </c>
      <c r="X57" s="13">
        <f>VLOOKUP(R57,Taxrate!A:B,2,FALSE)</f>
        <v>0.15</v>
      </c>
      <c r="Y57" s="15">
        <f t="shared" si="6"/>
        <v>1536.2820000000002</v>
      </c>
      <c r="Z57" s="9">
        <f>VLOOKUP(M57,'Discount Rate'!A:B,2,FALSE)</f>
        <v>0.05</v>
      </c>
      <c r="AA57" s="11">
        <f t="shared" si="7"/>
        <v>512.09400000000005</v>
      </c>
      <c r="AB57" s="15">
        <f t="shared" si="8"/>
        <v>8193.5040000000008</v>
      </c>
      <c r="AC57" s="15">
        <f t="shared" si="9"/>
        <v>1593.5040000000008</v>
      </c>
    </row>
    <row r="58" spans="1:29" x14ac:dyDescent="0.35">
      <c r="A58" t="s">
        <v>214</v>
      </c>
      <c r="B58" t="s">
        <v>215</v>
      </c>
      <c r="C58" t="s">
        <v>98</v>
      </c>
      <c r="D58" t="s">
        <v>99</v>
      </c>
      <c r="E58" s="1">
        <v>46253</v>
      </c>
      <c r="F58" s="24">
        <f t="shared" si="0"/>
        <v>2026</v>
      </c>
      <c r="G58" s="24" t="str">
        <f t="shared" si="1"/>
        <v>August</v>
      </c>
      <c r="H58" s="24" t="str">
        <f t="shared" si="2"/>
        <v>Wednesday</v>
      </c>
      <c r="I58" s="22">
        <v>0.78644675925925922</v>
      </c>
      <c r="J58" s="24">
        <f t="shared" si="3"/>
        <v>18</v>
      </c>
      <c r="K58" s="24">
        <f t="shared" si="4"/>
        <v>52</v>
      </c>
      <c r="L58" s="24">
        <f t="shared" si="5"/>
        <v>29</v>
      </c>
      <c r="M58" t="s">
        <v>33</v>
      </c>
      <c r="N58" t="s">
        <v>34</v>
      </c>
      <c r="O58" s="24">
        <v>2</v>
      </c>
      <c r="P58" s="11">
        <v>509.25</v>
      </c>
      <c r="Q58" s="26">
        <f>VLOOKUP('Prepared Sales Dataset'!M58,'Product-cost'!A:B,2,FALSE)</f>
        <v>200</v>
      </c>
      <c r="R58" t="s">
        <v>28</v>
      </c>
      <c r="S58" t="s">
        <v>216</v>
      </c>
      <c r="T58" t="s">
        <v>109</v>
      </c>
      <c r="U58" t="s">
        <v>923</v>
      </c>
      <c r="V58" s="17">
        <f>P58*O58</f>
        <v>1018.5</v>
      </c>
      <c r="W58" s="19">
        <f>O58*Q58</f>
        <v>400</v>
      </c>
      <c r="X58" s="13">
        <f>VLOOKUP(R58,Taxrate!A:B,2,FALSE)</f>
        <v>0.1</v>
      </c>
      <c r="Y58" s="15">
        <f t="shared" si="6"/>
        <v>101.85000000000001</v>
      </c>
      <c r="Z58" s="9">
        <f>VLOOKUP(M58,'Discount Rate'!A:B,2,FALSE)</f>
        <v>0.08</v>
      </c>
      <c r="AA58" s="11">
        <f t="shared" si="7"/>
        <v>81.48</v>
      </c>
      <c r="AB58" s="15">
        <f t="shared" si="8"/>
        <v>835.17</v>
      </c>
      <c r="AC58" s="15">
        <f t="shared" si="9"/>
        <v>435.16999999999996</v>
      </c>
    </row>
    <row r="59" spans="1:29" x14ac:dyDescent="0.35">
      <c r="A59" t="s">
        <v>217</v>
      </c>
      <c r="B59" t="s">
        <v>218</v>
      </c>
      <c r="C59" t="s">
        <v>67</v>
      </c>
      <c r="D59" t="s">
        <v>16</v>
      </c>
      <c r="E59" s="1">
        <v>46129</v>
      </c>
      <c r="F59" s="24">
        <f t="shared" si="0"/>
        <v>2026</v>
      </c>
      <c r="G59" s="24" t="str">
        <f t="shared" si="1"/>
        <v>April</v>
      </c>
      <c r="H59" s="24" t="str">
        <f t="shared" si="2"/>
        <v>Friday</v>
      </c>
      <c r="I59" s="22">
        <v>0.61187499999999995</v>
      </c>
      <c r="J59" s="24">
        <f t="shared" si="3"/>
        <v>14</v>
      </c>
      <c r="K59" s="24">
        <f t="shared" si="4"/>
        <v>41</v>
      </c>
      <c r="L59" s="24">
        <f t="shared" si="5"/>
        <v>6</v>
      </c>
      <c r="M59" t="s">
        <v>78</v>
      </c>
      <c r="N59" t="s">
        <v>79</v>
      </c>
      <c r="O59" s="24">
        <v>5</v>
      </c>
      <c r="P59" s="11">
        <v>506</v>
      </c>
      <c r="Q59" s="26">
        <f>VLOOKUP('Prepared Sales Dataset'!M59,'Product-cost'!A:B,2,FALSE)</f>
        <v>50</v>
      </c>
      <c r="R59" t="s">
        <v>28</v>
      </c>
      <c r="S59" t="s">
        <v>20</v>
      </c>
      <c r="U59" t="s">
        <v>923</v>
      </c>
      <c r="V59" s="17">
        <f>P59*O59</f>
        <v>2530</v>
      </c>
      <c r="W59" s="19">
        <f>O59*Q59</f>
        <v>250</v>
      </c>
      <c r="X59" s="13">
        <f>VLOOKUP(R59,Taxrate!A:B,2,FALSE)</f>
        <v>0.1</v>
      </c>
      <c r="Y59" s="15">
        <f t="shared" si="6"/>
        <v>253</v>
      </c>
      <c r="Z59" s="9">
        <f>VLOOKUP(M59,'Discount Rate'!A:B,2,FALSE)</f>
        <v>0.03</v>
      </c>
      <c r="AA59" s="11">
        <f t="shared" si="7"/>
        <v>75.899999999999991</v>
      </c>
      <c r="AB59" s="15">
        <f t="shared" si="8"/>
        <v>2201.1</v>
      </c>
      <c r="AC59" s="15">
        <f t="shared" si="9"/>
        <v>1951.1</v>
      </c>
    </row>
    <row r="60" spans="1:29" x14ac:dyDescent="0.35">
      <c r="A60" t="s">
        <v>219</v>
      </c>
      <c r="B60" t="s">
        <v>220</v>
      </c>
      <c r="C60" t="s">
        <v>40</v>
      </c>
      <c r="D60" t="s">
        <v>41</v>
      </c>
      <c r="E60" s="1">
        <v>45742</v>
      </c>
      <c r="F60" s="24">
        <f t="shared" si="0"/>
        <v>2025</v>
      </c>
      <c r="G60" s="24" t="str">
        <f t="shared" si="1"/>
        <v>March</v>
      </c>
      <c r="H60" s="24" t="str">
        <f t="shared" si="2"/>
        <v>Wednesday</v>
      </c>
      <c r="I60" s="22">
        <v>0.46381944444444445</v>
      </c>
      <c r="J60" s="24">
        <f t="shared" si="3"/>
        <v>11</v>
      </c>
      <c r="K60" s="24">
        <f t="shared" si="4"/>
        <v>7</v>
      </c>
      <c r="L60" s="24">
        <f t="shared" si="5"/>
        <v>54</v>
      </c>
      <c r="M60" t="s">
        <v>78</v>
      </c>
      <c r="N60" t="s">
        <v>79</v>
      </c>
      <c r="O60" s="24">
        <v>8</v>
      </c>
      <c r="P60" s="11">
        <v>167.96</v>
      </c>
      <c r="Q60" s="26">
        <f>VLOOKUP('Prepared Sales Dataset'!M60,'Product-cost'!A:B,2,FALSE)</f>
        <v>50</v>
      </c>
      <c r="R60" t="s">
        <v>55</v>
      </c>
      <c r="S60" t="s">
        <v>90</v>
      </c>
      <c r="U60" t="s">
        <v>923</v>
      </c>
      <c r="V60" s="17">
        <f>P60*O60</f>
        <v>1343.68</v>
      </c>
      <c r="W60" s="19">
        <f>O60*Q60</f>
        <v>400</v>
      </c>
      <c r="X60" s="13">
        <f>VLOOKUP(R60,Taxrate!A:B,2,FALSE)</f>
        <v>7.0000000000000007E-2</v>
      </c>
      <c r="Y60" s="15">
        <f t="shared" si="6"/>
        <v>94.057600000000008</v>
      </c>
      <c r="Z60" s="9">
        <f>VLOOKUP(M60,'Discount Rate'!A:B,2,FALSE)</f>
        <v>0.03</v>
      </c>
      <c r="AA60" s="11">
        <f t="shared" si="7"/>
        <v>40.310400000000001</v>
      </c>
      <c r="AB60" s="15">
        <f t="shared" si="8"/>
        <v>1209.3120000000001</v>
      </c>
      <c r="AC60" s="15">
        <f t="shared" si="9"/>
        <v>809.31200000000013</v>
      </c>
    </row>
    <row r="61" spans="1:29" x14ac:dyDescent="0.35">
      <c r="A61" t="s">
        <v>221</v>
      </c>
      <c r="B61" t="s">
        <v>222</v>
      </c>
      <c r="C61" t="s">
        <v>24</v>
      </c>
      <c r="D61" t="s">
        <v>25</v>
      </c>
      <c r="E61" s="1">
        <v>45229</v>
      </c>
      <c r="F61" s="24">
        <f t="shared" si="0"/>
        <v>2023</v>
      </c>
      <c r="G61" s="24" t="str">
        <f t="shared" si="1"/>
        <v>October</v>
      </c>
      <c r="H61" s="24" t="str">
        <f t="shared" si="2"/>
        <v>Monday</v>
      </c>
      <c r="I61" s="22">
        <v>0.53760416666666666</v>
      </c>
      <c r="J61" s="24">
        <f t="shared" si="3"/>
        <v>12</v>
      </c>
      <c r="K61" s="24">
        <f t="shared" si="4"/>
        <v>54</v>
      </c>
      <c r="L61" s="24">
        <f t="shared" si="5"/>
        <v>9</v>
      </c>
      <c r="M61" t="s">
        <v>26</v>
      </c>
      <c r="N61" t="s">
        <v>27</v>
      </c>
      <c r="O61" s="24">
        <v>13</v>
      </c>
      <c r="P61" s="11">
        <v>678.32</v>
      </c>
      <c r="Q61" s="26">
        <f>VLOOKUP('Prepared Sales Dataset'!M61,'Product-cost'!A:B,2,FALSE)</f>
        <v>300</v>
      </c>
      <c r="R61" t="s">
        <v>55</v>
      </c>
      <c r="S61" t="s">
        <v>29</v>
      </c>
      <c r="U61" t="s">
        <v>923</v>
      </c>
      <c r="V61" s="17">
        <f>P61*O61</f>
        <v>8818.16</v>
      </c>
      <c r="W61" s="19">
        <f>O61*Q61</f>
        <v>3900</v>
      </c>
      <c r="X61" s="13">
        <f>VLOOKUP(R61,Taxrate!A:B,2,FALSE)</f>
        <v>7.0000000000000007E-2</v>
      </c>
      <c r="Y61" s="15">
        <f t="shared" si="6"/>
        <v>617.27120000000002</v>
      </c>
      <c r="Z61" s="9">
        <f>VLOOKUP(M61,'Discount Rate'!A:B,2,FALSE)</f>
        <v>0.1</v>
      </c>
      <c r="AA61" s="11">
        <f t="shared" si="7"/>
        <v>881.81600000000003</v>
      </c>
      <c r="AB61" s="15">
        <f t="shared" si="8"/>
        <v>7319.0727999999999</v>
      </c>
      <c r="AC61" s="15">
        <f t="shared" si="9"/>
        <v>3419.0727999999999</v>
      </c>
    </row>
    <row r="62" spans="1:29" x14ac:dyDescent="0.35">
      <c r="A62" t="s">
        <v>223</v>
      </c>
      <c r="B62" t="s">
        <v>224</v>
      </c>
      <c r="C62" t="s">
        <v>136</v>
      </c>
      <c r="D62" t="s">
        <v>25</v>
      </c>
      <c r="E62" s="1">
        <v>45057</v>
      </c>
      <c r="F62" s="24">
        <f t="shared" si="0"/>
        <v>2023</v>
      </c>
      <c r="G62" s="24" t="str">
        <f t="shared" si="1"/>
        <v>May</v>
      </c>
      <c r="H62" s="24" t="str">
        <f t="shared" si="2"/>
        <v>Thursday</v>
      </c>
      <c r="I62" s="22">
        <v>0.65929398148148144</v>
      </c>
      <c r="J62" s="24">
        <f t="shared" si="3"/>
        <v>15</v>
      </c>
      <c r="K62" s="24">
        <f t="shared" si="4"/>
        <v>49</v>
      </c>
      <c r="L62" s="24">
        <f t="shared" si="5"/>
        <v>23</v>
      </c>
      <c r="M62" t="s">
        <v>49</v>
      </c>
      <c r="N62" t="s">
        <v>50</v>
      </c>
      <c r="O62" s="24">
        <v>8</v>
      </c>
      <c r="P62" s="11">
        <v>280</v>
      </c>
      <c r="Q62" s="26">
        <f>VLOOKUP('Prepared Sales Dataset'!M62,'Product-cost'!A:B,2,FALSE)</f>
        <v>150</v>
      </c>
      <c r="R62" t="s">
        <v>55</v>
      </c>
      <c r="S62" t="s">
        <v>29</v>
      </c>
      <c r="U62" t="s">
        <v>923</v>
      </c>
      <c r="V62" s="17">
        <f>P62*O62</f>
        <v>2240</v>
      </c>
      <c r="W62" s="19">
        <f>O62*Q62</f>
        <v>1200</v>
      </c>
      <c r="X62" s="13">
        <f>VLOOKUP(R62,Taxrate!A:B,2,FALSE)</f>
        <v>7.0000000000000007E-2</v>
      </c>
      <c r="Y62" s="15">
        <f t="shared" si="6"/>
        <v>156.80000000000001</v>
      </c>
      <c r="Z62" s="9">
        <f>VLOOKUP(M62,'Discount Rate'!A:B,2,FALSE)</f>
        <v>7.0000000000000007E-2</v>
      </c>
      <c r="AA62" s="11">
        <f t="shared" si="7"/>
        <v>156.80000000000001</v>
      </c>
      <c r="AB62" s="15">
        <f t="shared" si="8"/>
        <v>1926.4</v>
      </c>
      <c r="AC62" s="15">
        <f t="shared" si="9"/>
        <v>726.40000000000009</v>
      </c>
    </row>
    <row r="63" spans="1:29" x14ac:dyDescent="0.35">
      <c r="A63" t="s">
        <v>225</v>
      </c>
      <c r="B63" t="s">
        <v>226</v>
      </c>
      <c r="C63" t="s">
        <v>169</v>
      </c>
      <c r="D63" t="s">
        <v>170</v>
      </c>
      <c r="E63" s="1">
        <v>46332</v>
      </c>
      <c r="F63" s="24">
        <f t="shared" si="0"/>
        <v>2026</v>
      </c>
      <c r="G63" s="24" t="str">
        <f t="shared" si="1"/>
        <v>November</v>
      </c>
      <c r="H63" s="24" t="str">
        <f t="shared" si="2"/>
        <v>Friday</v>
      </c>
      <c r="I63" s="22">
        <v>0.65692129629629625</v>
      </c>
      <c r="J63" s="24">
        <f t="shared" si="3"/>
        <v>15</v>
      </c>
      <c r="K63" s="24">
        <f t="shared" si="4"/>
        <v>45</v>
      </c>
      <c r="L63" s="24">
        <f t="shared" si="5"/>
        <v>58</v>
      </c>
      <c r="M63" t="s">
        <v>78</v>
      </c>
      <c r="N63" t="s">
        <v>79</v>
      </c>
      <c r="O63" s="24">
        <v>8</v>
      </c>
      <c r="P63" s="11">
        <v>506</v>
      </c>
      <c r="Q63" s="26">
        <f>VLOOKUP('Prepared Sales Dataset'!M63,'Product-cost'!A:B,2,FALSE)</f>
        <v>50</v>
      </c>
      <c r="R63" t="s">
        <v>59</v>
      </c>
      <c r="S63" t="s">
        <v>171</v>
      </c>
      <c r="T63" t="s">
        <v>133</v>
      </c>
      <c r="U63" t="s">
        <v>921</v>
      </c>
      <c r="V63" s="17">
        <f>P63*O63</f>
        <v>4048</v>
      </c>
      <c r="W63" s="19">
        <f>O63*Q63</f>
        <v>400</v>
      </c>
      <c r="X63" s="13">
        <f>VLOOKUP(R63,Taxrate!A:B,2,FALSE)</f>
        <v>0.12</v>
      </c>
      <c r="Y63" s="15">
        <f t="shared" si="6"/>
        <v>485.76</v>
      </c>
      <c r="Z63" s="9">
        <f>VLOOKUP(M63,'Discount Rate'!A:B,2,FALSE)</f>
        <v>0.03</v>
      </c>
      <c r="AA63" s="11">
        <f t="shared" si="7"/>
        <v>121.44</v>
      </c>
      <c r="AB63" s="15">
        <f t="shared" si="8"/>
        <v>3440.8</v>
      </c>
      <c r="AC63" s="15">
        <f t="shared" si="9"/>
        <v>3040.8</v>
      </c>
    </row>
    <row r="64" spans="1:29" x14ac:dyDescent="0.35">
      <c r="A64" t="s">
        <v>227</v>
      </c>
      <c r="B64" t="s">
        <v>228</v>
      </c>
      <c r="C64" t="s">
        <v>98</v>
      </c>
      <c r="D64" t="s">
        <v>99</v>
      </c>
      <c r="E64" s="1">
        <v>45130</v>
      </c>
      <c r="F64" s="24">
        <f t="shared" si="0"/>
        <v>2023</v>
      </c>
      <c r="G64" s="24" t="str">
        <f t="shared" si="1"/>
        <v>July</v>
      </c>
      <c r="H64" s="24" t="str">
        <f t="shared" si="2"/>
        <v>Sunday</v>
      </c>
      <c r="I64" s="22">
        <v>0.90394675925925927</v>
      </c>
      <c r="J64" s="24">
        <f t="shared" si="3"/>
        <v>21</v>
      </c>
      <c r="K64" s="24">
        <f t="shared" si="4"/>
        <v>41</v>
      </c>
      <c r="L64" s="24">
        <f t="shared" si="5"/>
        <v>41</v>
      </c>
      <c r="M64" t="s">
        <v>49</v>
      </c>
      <c r="N64" t="s">
        <v>50</v>
      </c>
      <c r="O64" s="24">
        <v>4</v>
      </c>
      <c r="P64" s="11">
        <v>273.69</v>
      </c>
      <c r="Q64" s="26">
        <f>VLOOKUP('Prepared Sales Dataset'!M64,'Product-cost'!A:B,2,FALSE)</f>
        <v>150</v>
      </c>
      <c r="R64" t="s">
        <v>42</v>
      </c>
      <c r="S64" t="s">
        <v>122</v>
      </c>
      <c r="T64" t="s">
        <v>37</v>
      </c>
      <c r="U64" t="s">
        <v>921</v>
      </c>
      <c r="V64" s="17">
        <f>P64*O64</f>
        <v>1094.76</v>
      </c>
      <c r="W64" s="19">
        <f>O64*Q64</f>
        <v>600</v>
      </c>
      <c r="X64" s="13">
        <f>VLOOKUP(R64,Taxrate!A:B,2,FALSE)</f>
        <v>0.15</v>
      </c>
      <c r="Y64" s="15">
        <f t="shared" si="6"/>
        <v>164.214</v>
      </c>
      <c r="Z64" s="9">
        <f>VLOOKUP(M64,'Discount Rate'!A:B,2,FALSE)</f>
        <v>7.0000000000000007E-2</v>
      </c>
      <c r="AA64" s="11">
        <f t="shared" si="7"/>
        <v>76.633200000000002</v>
      </c>
      <c r="AB64" s="15">
        <f t="shared" si="8"/>
        <v>853.91280000000006</v>
      </c>
      <c r="AC64" s="15">
        <f t="shared" si="9"/>
        <v>253.91280000000006</v>
      </c>
    </row>
    <row r="65" spans="1:29" x14ac:dyDescent="0.35">
      <c r="A65" t="s">
        <v>229</v>
      </c>
      <c r="B65" t="s">
        <v>230</v>
      </c>
      <c r="C65" t="s">
        <v>77</v>
      </c>
      <c r="D65" t="s">
        <v>63</v>
      </c>
      <c r="E65" s="1">
        <v>45113</v>
      </c>
      <c r="F65" s="24">
        <f t="shared" si="0"/>
        <v>2023</v>
      </c>
      <c r="G65" s="24" t="str">
        <f t="shared" si="1"/>
        <v>July</v>
      </c>
      <c r="H65" s="24" t="str">
        <f t="shared" si="2"/>
        <v>Thursday</v>
      </c>
      <c r="I65" s="22">
        <v>0.39381944444444444</v>
      </c>
      <c r="J65" s="24">
        <f t="shared" si="3"/>
        <v>9</v>
      </c>
      <c r="K65" s="24">
        <f t="shared" si="4"/>
        <v>27</v>
      </c>
      <c r="L65" s="24">
        <f t="shared" si="5"/>
        <v>6</v>
      </c>
      <c r="M65" t="s">
        <v>33</v>
      </c>
      <c r="N65" t="s">
        <v>34</v>
      </c>
      <c r="O65" s="24">
        <v>9</v>
      </c>
      <c r="P65" s="11">
        <v>506</v>
      </c>
      <c r="Q65" s="26">
        <f>VLOOKUP('Prepared Sales Dataset'!M65,'Product-cost'!A:B,2,FALSE)</f>
        <v>200</v>
      </c>
      <c r="R65" t="s">
        <v>59</v>
      </c>
      <c r="S65" t="s">
        <v>80</v>
      </c>
      <c r="T65" t="s">
        <v>231</v>
      </c>
      <c r="U65" t="s">
        <v>922</v>
      </c>
      <c r="V65" s="17">
        <f>P65*O65</f>
        <v>4554</v>
      </c>
      <c r="W65" s="19">
        <f>O65*Q65</f>
        <v>1800</v>
      </c>
      <c r="X65" s="13">
        <f>VLOOKUP(R65,Taxrate!A:B,2,FALSE)</f>
        <v>0.12</v>
      </c>
      <c r="Y65" s="15">
        <f t="shared" si="6"/>
        <v>546.48</v>
      </c>
      <c r="Z65" s="9">
        <f>VLOOKUP(M65,'Discount Rate'!A:B,2,FALSE)</f>
        <v>0.08</v>
      </c>
      <c r="AA65" s="11">
        <f t="shared" si="7"/>
        <v>364.32</v>
      </c>
      <c r="AB65" s="15">
        <f t="shared" si="8"/>
        <v>3643.2</v>
      </c>
      <c r="AC65" s="15">
        <f t="shared" si="9"/>
        <v>1843.1999999999998</v>
      </c>
    </row>
    <row r="66" spans="1:29" x14ac:dyDescent="0.35">
      <c r="A66" t="s">
        <v>232</v>
      </c>
      <c r="B66" t="s">
        <v>233</v>
      </c>
      <c r="C66" t="s">
        <v>128</v>
      </c>
      <c r="D66" t="s">
        <v>63</v>
      </c>
      <c r="E66" s="1">
        <v>45139</v>
      </c>
      <c r="F66" s="24">
        <f t="shared" ref="F66:F129" si="10">YEAR(E66)</f>
        <v>2023</v>
      </c>
      <c r="G66" s="24" t="str">
        <f t="shared" si="1"/>
        <v>August</v>
      </c>
      <c r="H66" s="24" t="str">
        <f t="shared" si="2"/>
        <v>Tuesday</v>
      </c>
      <c r="I66" s="22">
        <v>0.44618055555555558</v>
      </c>
      <c r="J66" s="24">
        <f t="shared" si="3"/>
        <v>10</v>
      </c>
      <c r="K66" s="24">
        <f t="shared" si="4"/>
        <v>42</v>
      </c>
      <c r="L66" s="24">
        <f t="shared" si="5"/>
        <v>30</v>
      </c>
      <c r="M66" t="s">
        <v>26</v>
      </c>
      <c r="N66" t="s">
        <v>27</v>
      </c>
      <c r="O66" s="24">
        <v>6</v>
      </c>
      <c r="P66" s="11">
        <v>590.27</v>
      </c>
      <c r="Q66" s="26">
        <f>VLOOKUP('Prepared Sales Dataset'!M66,'Product-cost'!A:B,2,FALSE)</f>
        <v>300</v>
      </c>
      <c r="R66" t="s">
        <v>28</v>
      </c>
      <c r="S66" t="s">
        <v>64</v>
      </c>
      <c r="T66" t="s">
        <v>21</v>
      </c>
      <c r="U66" t="s">
        <v>921</v>
      </c>
      <c r="V66" s="17">
        <f>P66*O66</f>
        <v>3541.62</v>
      </c>
      <c r="W66" s="19">
        <f>O66*Q66</f>
        <v>1800</v>
      </c>
      <c r="X66" s="13">
        <f>VLOOKUP(R66,Taxrate!A:B,2,FALSE)</f>
        <v>0.1</v>
      </c>
      <c r="Y66" s="15">
        <f t="shared" si="6"/>
        <v>354.16200000000003</v>
      </c>
      <c r="Z66" s="9">
        <f>VLOOKUP(M66,'Discount Rate'!A:B,2,FALSE)</f>
        <v>0.1</v>
      </c>
      <c r="AA66" s="11">
        <f t="shared" si="7"/>
        <v>354.16200000000003</v>
      </c>
      <c r="AB66" s="15">
        <f t="shared" si="8"/>
        <v>2833.2959999999998</v>
      </c>
      <c r="AC66" s="15">
        <f t="shared" si="9"/>
        <v>1033.2959999999998</v>
      </c>
    </row>
    <row r="67" spans="1:29" x14ac:dyDescent="0.35">
      <c r="A67" t="s">
        <v>234</v>
      </c>
      <c r="B67" t="s">
        <v>235</v>
      </c>
      <c r="C67" t="s">
        <v>62</v>
      </c>
      <c r="D67" t="s">
        <v>63</v>
      </c>
      <c r="E67" s="1">
        <v>46366</v>
      </c>
      <c r="F67" s="24">
        <f t="shared" si="10"/>
        <v>2026</v>
      </c>
      <c r="G67" s="24" t="str">
        <f t="shared" ref="G67:G130" si="11">TEXT(E67,"mmmm")</f>
        <v>December</v>
      </c>
      <c r="H67" s="24" t="str">
        <f t="shared" ref="H67:H130" si="12">TEXT(E67,"dddd")</f>
        <v>Thursday</v>
      </c>
      <c r="I67" s="22">
        <v>0.55694444444444446</v>
      </c>
      <c r="J67" s="24">
        <f t="shared" ref="J67:J130" si="13">HOUR(I67)</f>
        <v>13</v>
      </c>
      <c r="K67" s="24">
        <f t="shared" ref="K67:K130" si="14">MINUTE(I67)</f>
        <v>22</v>
      </c>
      <c r="L67" s="24">
        <f t="shared" ref="L67:L130" si="15">SECOND(I67)</f>
        <v>0</v>
      </c>
      <c r="M67" t="s">
        <v>26</v>
      </c>
      <c r="N67" t="s">
        <v>27</v>
      </c>
      <c r="O67" s="24">
        <v>10</v>
      </c>
      <c r="P67" s="11">
        <v>500.88</v>
      </c>
      <c r="Q67" s="26">
        <f>VLOOKUP('Prepared Sales Dataset'!M67,'Product-cost'!A:B,2,FALSE)</f>
        <v>300</v>
      </c>
      <c r="R67" t="s">
        <v>55</v>
      </c>
      <c r="S67" t="s">
        <v>80</v>
      </c>
      <c r="T67" t="s">
        <v>95</v>
      </c>
      <c r="U67" t="s">
        <v>921</v>
      </c>
      <c r="V67" s="17">
        <f>P67*O67</f>
        <v>5008.8</v>
      </c>
      <c r="W67" s="19">
        <f>O67*Q67</f>
        <v>3000</v>
      </c>
      <c r="X67" s="13">
        <f>VLOOKUP(R67,Taxrate!A:B,2,FALSE)</f>
        <v>7.0000000000000007E-2</v>
      </c>
      <c r="Y67" s="15">
        <f t="shared" ref="Y67:Y130" si="16">V67*X67</f>
        <v>350.61600000000004</v>
      </c>
      <c r="Z67" s="9">
        <f>VLOOKUP(M67,'Discount Rate'!A:B,2,FALSE)</f>
        <v>0.1</v>
      </c>
      <c r="AA67" s="11">
        <f t="shared" ref="AA67:AA130" si="17">V67*Z67</f>
        <v>500.88000000000005</v>
      </c>
      <c r="AB67" s="15">
        <f t="shared" ref="AB67:AB130" si="18">V67-(Y67+AA67)</f>
        <v>4157.3040000000001</v>
      </c>
      <c r="AC67" s="15">
        <f t="shared" ref="AC67:AC130" si="19">AB67-W67</f>
        <v>1157.3040000000001</v>
      </c>
    </row>
    <row r="68" spans="1:29" x14ac:dyDescent="0.35">
      <c r="A68" t="s">
        <v>236</v>
      </c>
      <c r="B68" t="s">
        <v>237</v>
      </c>
      <c r="C68" t="s">
        <v>179</v>
      </c>
      <c r="D68" t="s">
        <v>41</v>
      </c>
      <c r="E68" s="1">
        <v>45034</v>
      </c>
      <c r="F68" s="24">
        <f t="shared" si="10"/>
        <v>2023</v>
      </c>
      <c r="G68" s="24" t="str">
        <f t="shared" si="11"/>
        <v>April</v>
      </c>
      <c r="H68" s="24" t="str">
        <f t="shared" si="12"/>
        <v>Tuesday</v>
      </c>
      <c r="I68" s="22">
        <v>0.45045138888888892</v>
      </c>
      <c r="J68" s="24">
        <f t="shared" si="13"/>
        <v>10</v>
      </c>
      <c r="K68" s="24">
        <f t="shared" si="14"/>
        <v>48</v>
      </c>
      <c r="L68" s="24">
        <f t="shared" si="15"/>
        <v>39</v>
      </c>
      <c r="M68" t="s">
        <v>17</v>
      </c>
      <c r="N68" t="s">
        <v>18</v>
      </c>
      <c r="O68" s="24">
        <v>5</v>
      </c>
      <c r="P68" s="11">
        <v>1012.01</v>
      </c>
      <c r="Q68" s="26">
        <f>VLOOKUP('Prepared Sales Dataset'!M68,'Product-cost'!A:B,2,FALSE)</f>
        <v>600</v>
      </c>
      <c r="R68" t="s">
        <v>59</v>
      </c>
      <c r="S68" t="s">
        <v>90</v>
      </c>
      <c r="T68" t="s">
        <v>37</v>
      </c>
      <c r="U68" t="s">
        <v>921</v>
      </c>
      <c r="V68" s="17">
        <f>P68*O68</f>
        <v>5060.05</v>
      </c>
      <c r="W68" s="19">
        <f>O68*Q68</f>
        <v>3000</v>
      </c>
      <c r="X68" s="13">
        <f>VLOOKUP(R68,Taxrate!A:B,2,FALSE)</f>
        <v>0.12</v>
      </c>
      <c r="Y68" s="15">
        <f t="shared" si="16"/>
        <v>607.20600000000002</v>
      </c>
      <c r="Z68" s="9">
        <f>VLOOKUP(M68,'Discount Rate'!A:B,2,FALSE)</f>
        <v>0.05</v>
      </c>
      <c r="AA68" s="11">
        <f t="shared" si="17"/>
        <v>253.00250000000003</v>
      </c>
      <c r="AB68" s="15">
        <f t="shared" si="18"/>
        <v>4199.8415000000005</v>
      </c>
      <c r="AC68" s="15">
        <f t="shared" si="19"/>
        <v>1199.8415000000005</v>
      </c>
    </row>
    <row r="69" spans="1:29" x14ac:dyDescent="0.35">
      <c r="A69" t="s">
        <v>238</v>
      </c>
      <c r="B69" t="s">
        <v>239</v>
      </c>
      <c r="C69" t="s">
        <v>77</v>
      </c>
      <c r="D69" t="s">
        <v>63</v>
      </c>
      <c r="E69" s="1">
        <v>45020</v>
      </c>
      <c r="F69" s="24">
        <f t="shared" si="10"/>
        <v>2023</v>
      </c>
      <c r="G69" s="24" t="str">
        <f t="shared" si="11"/>
        <v>April</v>
      </c>
      <c r="H69" s="24" t="str">
        <f t="shared" si="12"/>
        <v>Tuesday</v>
      </c>
      <c r="I69" s="22">
        <v>0.60975694444444439</v>
      </c>
      <c r="J69" s="24">
        <f t="shared" si="13"/>
        <v>14</v>
      </c>
      <c r="K69" s="24">
        <f t="shared" si="14"/>
        <v>38</v>
      </c>
      <c r="L69" s="24">
        <f t="shared" si="15"/>
        <v>3</v>
      </c>
      <c r="M69" t="s">
        <v>17</v>
      </c>
      <c r="N69" t="s">
        <v>18</v>
      </c>
      <c r="O69" s="24">
        <v>4</v>
      </c>
      <c r="P69" s="11">
        <v>1182.08</v>
      </c>
      <c r="Q69" s="26">
        <f>VLOOKUP('Prepared Sales Dataset'!M69,'Product-cost'!A:B,2,FALSE)</f>
        <v>600</v>
      </c>
      <c r="R69" t="s">
        <v>28</v>
      </c>
      <c r="S69" t="s">
        <v>241</v>
      </c>
      <c r="U69" t="s">
        <v>923</v>
      </c>
      <c r="V69" s="17">
        <f>P69*O69</f>
        <v>4728.32</v>
      </c>
      <c r="W69" s="19">
        <f>O69*Q69</f>
        <v>2400</v>
      </c>
      <c r="X69" s="13">
        <f>VLOOKUP(R69,Taxrate!A:B,2,FALSE)</f>
        <v>0.1</v>
      </c>
      <c r="Y69" s="15">
        <f t="shared" si="16"/>
        <v>472.83199999999999</v>
      </c>
      <c r="Z69" s="9">
        <f>VLOOKUP(M69,'Discount Rate'!A:B,2,FALSE)</f>
        <v>0.05</v>
      </c>
      <c r="AA69" s="11">
        <f t="shared" si="17"/>
        <v>236.416</v>
      </c>
      <c r="AB69" s="15">
        <f t="shared" si="18"/>
        <v>4019.0719999999997</v>
      </c>
      <c r="AC69" s="15">
        <f t="shared" si="19"/>
        <v>1619.0719999999997</v>
      </c>
    </row>
    <row r="70" spans="1:29" x14ac:dyDescent="0.35">
      <c r="A70" t="s">
        <v>242</v>
      </c>
      <c r="B70" t="s">
        <v>243</v>
      </c>
      <c r="C70" t="s">
        <v>40</v>
      </c>
      <c r="D70" t="s">
        <v>41</v>
      </c>
      <c r="E70" s="1">
        <v>45740</v>
      </c>
      <c r="F70" s="24">
        <f t="shared" si="10"/>
        <v>2025</v>
      </c>
      <c r="G70" s="24" t="str">
        <f t="shared" si="11"/>
        <v>March</v>
      </c>
      <c r="H70" s="24" t="str">
        <f t="shared" si="12"/>
        <v>Monday</v>
      </c>
      <c r="I70" s="22">
        <v>0.58436342592592594</v>
      </c>
      <c r="J70" s="24">
        <f t="shared" si="13"/>
        <v>14</v>
      </c>
      <c r="K70" s="24">
        <f t="shared" si="14"/>
        <v>1</v>
      </c>
      <c r="L70" s="24">
        <f t="shared" si="15"/>
        <v>29</v>
      </c>
      <c r="M70" t="s">
        <v>17</v>
      </c>
      <c r="N70" t="s">
        <v>18</v>
      </c>
      <c r="O70" s="24">
        <v>10</v>
      </c>
      <c r="P70" s="11">
        <v>1002.21</v>
      </c>
      <c r="Q70" s="26">
        <f>VLOOKUP('Prepared Sales Dataset'!M70,'Product-cost'!A:B,2,FALSE)</f>
        <v>600</v>
      </c>
      <c r="R70" t="s">
        <v>42</v>
      </c>
      <c r="S70" t="s">
        <v>90</v>
      </c>
      <c r="T70" t="s">
        <v>125</v>
      </c>
      <c r="U70" t="s">
        <v>921</v>
      </c>
      <c r="V70" s="17">
        <f>P70*O70</f>
        <v>10022.1</v>
      </c>
      <c r="W70" s="19">
        <f>O70*Q70</f>
        <v>6000</v>
      </c>
      <c r="X70" s="13">
        <f>VLOOKUP(R70,Taxrate!A:B,2,FALSE)</f>
        <v>0.15</v>
      </c>
      <c r="Y70" s="15">
        <f t="shared" si="16"/>
        <v>1503.3150000000001</v>
      </c>
      <c r="Z70" s="9">
        <f>VLOOKUP(M70,'Discount Rate'!A:B,2,FALSE)</f>
        <v>0.05</v>
      </c>
      <c r="AA70" s="11">
        <f t="shared" si="17"/>
        <v>501.10500000000002</v>
      </c>
      <c r="AB70" s="15">
        <f t="shared" si="18"/>
        <v>8017.68</v>
      </c>
      <c r="AC70" s="15">
        <f t="shared" si="19"/>
        <v>2017.6800000000003</v>
      </c>
    </row>
    <row r="71" spans="1:29" x14ac:dyDescent="0.35">
      <c r="A71" t="s">
        <v>244</v>
      </c>
      <c r="B71" t="s">
        <v>53</v>
      </c>
      <c r="C71" t="s">
        <v>70</v>
      </c>
      <c r="D71" t="s">
        <v>71</v>
      </c>
      <c r="E71" s="1">
        <v>45143</v>
      </c>
      <c r="F71" s="24">
        <f t="shared" si="10"/>
        <v>2023</v>
      </c>
      <c r="G71" s="24" t="str">
        <f t="shared" si="11"/>
        <v>August</v>
      </c>
      <c r="H71" s="24" t="str">
        <f t="shared" si="12"/>
        <v>Saturday</v>
      </c>
      <c r="I71" s="22">
        <v>0.60931712962962958</v>
      </c>
      <c r="J71" s="24">
        <f t="shared" si="13"/>
        <v>14</v>
      </c>
      <c r="K71" s="24">
        <f t="shared" si="14"/>
        <v>37</v>
      </c>
      <c r="L71" s="24">
        <f t="shared" si="15"/>
        <v>25</v>
      </c>
      <c r="M71" t="s">
        <v>49</v>
      </c>
      <c r="N71" t="s">
        <v>50</v>
      </c>
      <c r="O71" s="24">
        <v>8</v>
      </c>
      <c r="P71" s="11">
        <v>258.04000000000002</v>
      </c>
      <c r="Q71" s="26">
        <f>VLOOKUP('Prepared Sales Dataset'!M71,'Product-cost'!A:B,2,FALSE)</f>
        <v>150</v>
      </c>
      <c r="R71" t="s">
        <v>35</v>
      </c>
      <c r="S71" t="s">
        <v>73</v>
      </c>
      <c r="T71" t="s">
        <v>37</v>
      </c>
      <c r="U71" t="s">
        <v>921</v>
      </c>
      <c r="V71" s="17">
        <f>P71*O71</f>
        <v>2064.3200000000002</v>
      </c>
      <c r="W71" s="19">
        <f>O71*Q71</f>
        <v>1200</v>
      </c>
      <c r="X71" s="13">
        <f>VLOOKUP(R71,Taxrate!A:B,2,FALSE)</f>
        <v>0.2</v>
      </c>
      <c r="Y71" s="15">
        <f t="shared" si="16"/>
        <v>412.86400000000003</v>
      </c>
      <c r="Z71" s="9">
        <f>VLOOKUP(M71,'Discount Rate'!A:B,2,FALSE)</f>
        <v>7.0000000000000007E-2</v>
      </c>
      <c r="AA71" s="11">
        <f t="shared" si="17"/>
        <v>144.50240000000002</v>
      </c>
      <c r="AB71" s="15">
        <f t="shared" si="18"/>
        <v>1506.9536000000001</v>
      </c>
      <c r="AC71" s="15">
        <f t="shared" si="19"/>
        <v>306.95360000000005</v>
      </c>
    </row>
    <row r="72" spans="1:29" x14ac:dyDescent="0.35">
      <c r="A72" t="s">
        <v>245</v>
      </c>
      <c r="B72" t="s">
        <v>246</v>
      </c>
      <c r="C72" t="s">
        <v>139</v>
      </c>
      <c r="D72" t="s">
        <v>25</v>
      </c>
      <c r="E72" s="1">
        <v>45137</v>
      </c>
      <c r="F72" s="24">
        <f t="shared" si="10"/>
        <v>2023</v>
      </c>
      <c r="G72" s="24" t="str">
        <f t="shared" si="11"/>
        <v>July</v>
      </c>
      <c r="H72" s="24" t="str">
        <f t="shared" si="12"/>
        <v>Sunday</v>
      </c>
      <c r="I72" s="22">
        <v>0.50846064814814818</v>
      </c>
      <c r="J72" s="24">
        <f t="shared" si="13"/>
        <v>12</v>
      </c>
      <c r="K72" s="24">
        <f t="shared" si="14"/>
        <v>12</v>
      </c>
      <c r="L72" s="24">
        <f t="shared" si="15"/>
        <v>11</v>
      </c>
      <c r="M72" t="s">
        <v>49</v>
      </c>
      <c r="N72" t="s">
        <v>50</v>
      </c>
      <c r="O72" s="24">
        <v>13</v>
      </c>
      <c r="P72" s="11">
        <v>195.49</v>
      </c>
      <c r="Q72" s="26">
        <f>VLOOKUP('Prepared Sales Dataset'!M72,'Product-cost'!A:B,2,FALSE)</f>
        <v>150</v>
      </c>
      <c r="R72" t="s">
        <v>42</v>
      </c>
      <c r="S72" t="s">
        <v>56</v>
      </c>
      <c r="T72" t="s">
        <v>133</v>
      </c>
      <c r="U72" t="s">
        <v>921</v>
      </c>
      <c r="V72" s="17">
        <f>P72*O72</f>
        <v>2541.37</v>
      </c>
      <c r="W72" s="19">
        <f>O72*Q72</f>
        <v>1950</v>
      </c>
      <c r="X72" s="13">
        <f>VLOOKUP(R72,Taxrate!A:B,2,FALSE)</f>
        <v>0.15</v>
      </c>
      <c r="Y72" s="15">
        <f t="shared" si="16"/>
        <v>381.20549999999997</v>
      </c>
      <c r="Z72" s="9">
        <f>VLOOKUP(M72,'Discount Rate'!A:B,2,FALSE)</f>
        <v>7.0000000000000007E-2</v>
      </c>
      <c r="AA72" s="11">
        <f t="shared" si="17"/>
        <v>177.89590000000001</v>
      </c>
      <c r="AB72" s="15">
        <f t="shared" si="18"/>
        <v>1982.2685999999999</v>
      </c>
      <c r="AC72" s="15">
        <f t="shared" si="19"/>
        <v>32.268599999999878</v>
      </c>
    </row>
    <row r="73" spans="1:29" x14ac:dyDescent="0.35">
      <c r="A73" t="s">
        <v>247</v>
      </c>
      <c r="B73" t="s">
        <v>248</v>
      </c>
      <c r="C73" t="s">
        <v>77</v>
      </c>
      <c r="D73" t="s">
        <v>63</v>
      </c>
      <c r="E73" s="1">
        <v>46220</v>
      </c>
      <c r="F73" s="24">
        <f t="shared" si="10"/>
        <v>2026</v>
      </c>
      <c r="G73" s="24" t="str">
        <f t="shared" si="11"/>
        <v>July</v>
      </c>
      <c r="H73" s="24" t="str">
        <f t="shared" si="12"/>
        <v>Friday</v>
      </c>
      <c r="I73" s="22">
        <v>0.84556712962962965</v>
      </c>
      <c r="J73" s="24">
        <f t="shared" si="13"/>
        <v>20</v>
      </c>
      <c r="K73" s="24">
        <f t="shared" si="14"/>
        <v>17</v>
      </c>
      <c r="L73" s="24">
        <f t="shared" si="15"/>
        <v>37</v>
      </c>
      <c r="M73" t="s">
        <v>17</v>
      </c>
      <c r="N73" t="s">
        <v>18</v>
      </c>
      <c r="O73" s="24">
        <v>2</v>
      </c>
      <c r="P73" s="11">
        <v>1025.96</v>
      </c>
      <c r="Q73" s="26">
        <f>VLOOKUP('Prepared Sales Dataset'!M73,'Product-cost'!A:B,2,FALSE)</f>
        <v>600</v>
      </c>
      <c r="R73" t="s">
        <v>55</v>
      </c>
      <c r="S73" t="s">
        <v>241</v>
      </c>
      <c r="T73" t="s">
        <v>249</v>
      </c>
      <c r="U73" t="s">
        <v>921</v>
      </c>
      <c r="V73" s="17">
        <f>P73*O73</f>
        <v>2051.92</v>
      </c>
      <c r="W73" s="19">
        <f>O73*Q73</f>
        <v>1200</v>
      </c>
      <c r="X73" s="13">
        <f>VLOOKUP(R73,Taxrate!A:B,2,FALSE)</f>
        <v>7.0000000000000007E-2</v>
      </c>
      <c r="Y73" s="15">
        <f t="shared" si="16"/>
        <v>143.63440000000003</v>
      </c>
      <c r="Z73" s="9">
        <f>VLOOKUP(M73,'Discount Rate'!A:B,2,FALSE)</f>
        <v>0.05</v>
      </c>
      <c r="AA73" s="11">
        <f t="shared" si="17"/>
        <v>102.596</v>
      </c>
      <c r="AB73" s="15">
        <f t="shared" si="18"/>
        <v>1805.6896000000002</v>
      </c>
      <c r="AC73" s="15">
        <f t="shared" si="19"/>
        <v>605.68960000000015</v>
      </c>
    </row>
    <row r="74" spans="1:29" x14ac:dyDescent="0.35">
      <c r="A74" t="s">
        <v>250</v>
      </c>
      <c r="B74" t="s">
        <v>251</v>
      </c>
      <c r="C74" t="s">
        <v>47</v>
      </c>
      <c r="D74" t="s">
        <v>48</v>
      </c>
      <c r="E74" s="1">
        <v>46097</v>
      </c>
      <c r="F74" s="24">
        <f t="shared" si="10"/>
        <v>2026</v>
      </c>
      <c r="G74" s="24" t="str">
        <f t="shared" si="11"/>
        <v>March</v>
      </c>
      <c r="H74" s="24" t="str">
        <f t="shared" si="12"/>
        <v>Monday</v>
      </c>
      <c r="I74" s="22">
        <v>0.56840277777777781</v>
      </c>
      <c r="J74" s="24">
        <f t="shared" si="13"/>
        <v>13</v>
      </c>
      <c r="K74" s="24">
        <f t="shared" si="14"/>
        <v>38</v>
      </c>
      <c r="L74" s="24">
        <f t="shared" si="15"/>
        <v>30</v>
      </c>
      <c r="M74" t="s">
        <v>49</v>
      </c>
      <c r="N74" t="s">
        <v>50</v>
      </c>
      <c r="O74" s="24">
        <v>1</v>
      </c>
      <c r="P74" s="11">
        <v>265.20999999999998</v>
      </c>
      <c r="Q74" s="26">
        <f>VLOOKUP('Prepared Sales Dataset'!M74,'Product-cost'!A:B,2,FALSE)</f>
        <v>150</v>
      </c>
      <c r="R74" t="s">
        <v>28</v>
      </c>
      <c r="S74" t="s">
        <v>51</v>
      </c>
      <c r="T74" t="s">
        <v>166</v>
      </c>
      <c r="U74" t="s">
        <v>921</v>
      </c>
      <c r="V74" s="17">
        <f>P74*O74</f>
        <v>265.20999999999998</v>
      </c>
      <c r="W74" s="19">
        <f>O74*Q74</f>
        <v>150</v>
      </c>
      <c r="X74" s="13">
        <f>VLOOKUP(R74,Taxrate!A:B,2,FALSE)</f>
        <v>0.1</v>
      </c>
      <c r="Y74" s="15">
        <f t="shared" si="16"/>
        <v>26.521000000000001</v>
      </c>
      <c r="Z74" s="9">
        <f>VLOOKUP(M74,'Discount Rate'!A:B,2,FALSE)</f>
        <v>7.0000000000000007E-2</v>
      </c>
      <c r="AA74" s="11">
        <f t="shared" si="17"/>
        <v>18.564700000000002</v>
      </c>
      <c r="AB74" s="15">
        <f t="shared" si="18"/>
        <v>220.12429999999998</v>
      </c>
      <c r="AC74" s="15">
        <f t="shared" si="19"/>
        <v>70.124299999999977</v>
      </c>
    </row>
    <row r="75" spans="1:29" x14ac:dyDescent="0.35">
      <c r="A75" t="s">
        <v>252</v>
      </c>
      <c r="B75" t="s">
        <v>253</v>
      </c>
      <c r="C75" t="s">
        <v>98</v>
      </c>
      <c r="D75" t="s">
        <v>99</v>
      </c>
      <c r="E75" s="1">
        <v>45672</v>
      </c>
      <c r="F75" s="24">
        <f t="shared" si="10"/>
        <v>2025</v>
      </c>
      <c r="G75" s="24" t="str">
        <f t="shared" si="11"/>
        <v>January</v>
      </c>
      <c r="H75" s="24" t="str">
        <f t="shared" si="12"/>
        <v>Wednesday</v>
      </c>
      <c r="I75" s="22">
        <v>0.51696759259259262</v>
      </c>
      <c r="J75" s="24">
        <f t="shared" si="13"/>
        <v>12</v>
      </c>
      <c r="K75" s="24">
        <f t="shared" si="14"/>
        <v>24</v>
      </c>
      <c r="L75" s="24">
        <f t="shared" si="15"/>
        <v>26</v>
      </c>
      <c r="M75" t="s">
        <v>33</v>
      </c>
      <c r="N75" t="s">
        <v>34</v>
      </c>
      <c r="O75" s="24">
        <v>1</v>
      </c>
      <c r="P75" s="11">
        <v>449.46</v>
      </c>
      <c r="Q75" s="26">
        <f>VLOOKUP('Prepared Sales Dataset'!M75,'Product-cost'!A:B,2,FALSE)</f>
        <v>200</v>
      </c>
      <c r="R75" t="s">
        <v>55</v>
      </c>
      <c r="S75" t="s">
        <v>216</v>
      </c>
      <c r="U75" t="s">
        <v>923</v>
      </c>
      <c r="V75" s="17">
        <f>P75*O75</f>
        <v>449.46</v>
      </c>
      <c r="W75" s="19">
        <f>O75*Q75</f>
        <v>200</v>
      </c>
      <c r="X75" s="13">
        <f>VLOOKUP(R75,Taxrate!A:B,2,FALSE)</f>
        <v>7.0000000000000007E-2</v>
      </c>
      <c r="Y75" s="15">
        <f t="shared" si="16"/>
        <v>31.462200000000003</v>
      </c>
      <c r="Z75" s="9">
        <f>VLOOKUP(M75,'Discount Rate'!A:B,2,FALSE)</f>
        <v>0.08</v>
      </c>
      <c r="AA75" s="11">
        <f t="shared" si="17"/>
        <v>35.956800000000001</v>
      </c>
      <c r="AB75" s="15">
        <f t="shared" si="18"/>
        <v>382.04099999999994</v>
      </c>
      <c r="AC75" s="15">
        <f t="shared" si="19"/>
        <v>182.04099999999994</v>
      </c>
    </row>
    <row r="76" spans="1:29" x14ac:dyDescent="0.35">
      <c r="A76" t="s">
        <v>254</v>
      </c>
      <c r="B76" t="s">
        <v>255</v>
      </c>
      <c r="C76" t="s">
        <v>139</v>
      </c>
      <c r="D76" t="s">
        <v>25</v>
      </c>
      <c r="E76" s="1">
        <v>45093</v>
      </c>
      <c r="F76" s="24">
        <f t="shared" si="10"/>
        <v>2023</v>
      </c>
      <c r="G76" s="24" t="str">
        <f t="shared" si="11"/>
        <v>June</v>
      </c>
      <c r="H76" s="24" t="str">
        <f t="shared" si="12"/>
        <v>Friday</v>
      </c>
      <c r="I76" s="22">
        <v>0.55533564814814818</v>
      </c>
      <c r="J76" s="24">
        <f t="shared" si="13"/>
        <v>13</v>
      </c>
      <c r="K76" s="24">
        <f t="shared" si="14"/>
        <v>19</v>
      </c>
      <c r="L76" s="24">
        <f t="shared" si="15"/>
        <v>41</v>
      </c>
      <c r="M76" t="s">
        <v>78</v>
      </c>
      <c r="N76" t="s">
        <v>79</v>
      </c>
      <c r="O76" s="24">
        <v>12</v>
      </c>
      <c r="P76" s="11">
        <v>143.22</v>
      </c>
      <c r="Q76" s="26">
        <f>VLOOKUP('Prepared Sales Dataset'!M76,'Product-cost'!A:B,2,FALSE)</f>
        <v>50</v>
      </c>
      <c r="R76" t="s">
        <v>42</v>
      </c>
      <c r="S76" t="s">
        <v>155</v>
      </c>
      <c r="U76" t="s">
        <v>923</v>
      </c>
      <c r="V76" s="17">
        <f>P76*O76</f>
        <v>1718.6399999999999</v>
      </c>
      <c r="W76" s="19">
        <f>O76*Q76</f>
        <v>600</v>
      </c>
      <c r="X76" s="13">
        <f>VLOOKUP(R76,Taxrate!A:B,2,FALSE)</f>
        <v>0.15</v>
      </c>
      <c r="Y76" s="15">
        <f t="shared" si="16"/>
        <v>257.79599999999999</v>
      </c>
      <c r="Z76" s="9">
        <f>VLOOKUP(M76,'Discount Rate'!A:B,2,FALSE)</f>
        <v>0.03</v>
      </c>
      <c r="AA76" s="11">
        <f t="shared" si="17"/>
        <v>51.559199999999997</v>
      </c>
      <c r="AB76" s="15">
        <f t="shared" si="18"/>
        <v>1409.2847999999999</v>
      </c>
      <c r="AC76" s="15">
        <f t="shared" si="19"/>
        <v>809.2847999999999</v>
      </c>
    </row>
    <row r="77" spans="1:29" x14ac:dyDescent="0.35">
      <c r="A77" t="s">
        <v>256</v>
      </c>
      <c r="B77" t="s">
        <v>257</v>
      </c>
      <c r="C77" t="s">
        <v>40</v>
      </c>
      <c r="D77" t="s">
        <v>41</v>
      </c>
      <c r="E77" s="1">
        <v>45296</v>
      </c>
      <c r="F77" s="24">
        <f t="shared" si="10"/>
        <v>2024</v>
      </c>
      <c r="G77" s="24" t="str">
        <f t="shared" si="11"/>
        <v>January</v>
      </c>
      <c r="H77" s="24" t="str">
        <f t="shared" si="12"/>
        <v>Friday</v>
      </c>
      <c r="I77" s="22">
        <v>0.57605324074074071</v>
      </c>
      <c r="J77" s="24">
        <f t="shared" si="13"/>
        <v>13</v>
      </c>
      <c r="K77" s="24">
        <f t="shared" si="14"/>
        <v>49</v>
      </c>
      <c r="L77" s="24">
        <f t="shared" si="15"/>
        <v>31</v>
      </c>
      <c r="M77" t="s">
        <v>26</v>
      </c>
      <c r="N77" t="s">
        <v>27</v>
      </c>
      <c r="O77" s="24">
        <v>3</v>
      </c>
      <c r="P77" s="11">
        <v>568.74</v>
      </c>
      <c r="Q77" s="26">
        <f>VLOOKUP('Prepared Sales Dataset'!M77,'Product-cost'!A:B,2,FALSE)</f>
        <v>300</v>
      </c>
      <c r="R77" t="s">
        <v>55</v>
      </c>
      <c r="S77" t="s">
        <v>43</v>
      </c>
      <c r="U77" t="s">
        <v>923</v>
      </c>
      <c r="V77" s="17">
        <f>P77*O77</f>
        <v>1706.22</v>
      </c>
      <c r="W77" s="19">
        <f>O77*Q77</f>
        <v>900</v>
      </c>
      <c r="X77" s="13">
        <f>VLOOKUP(R77,Taxrate!A:B,2,FALSE)</f>
        <v>7.0000000000000007E-2</v>
      </c>
      <c r="Y77" s="15">
        <f t="shared" si="16"/>
        <v>119.43540000000002</v>
      </c>
      <c r="Z77" s="9">
        <f>VLOOKUP(M77,'Discount Rate'!A:B,2,FALSE)</f>
        <v>0.1</v>
      </c>
      <c r="AA77" s="11">
        <f t="shared" si="17"/>
        <v>170.62200000000001</v>
      </c>
      <c r="AB77" s="15">
        <f t="shared" si="18"/>
        <v>1416.1626000000001</v>
      </c>
      <c r="AC77" s="15">
        <f t="shared" si="19"/>
        <v>516.16260000000011</v>
      </c>
    </row>
    <row r="78" spans="1:29" x14ac:dyDescent="0.35">
      <c r="A78" t="s">
        <v>258</v>
      </c>
      <c r="B78" t="s">
        <v>259</v>
      </c>
      <c r="C78" t="s">
        <v>98</v>
      </c>
      <c r="D78" t="s">
        <v>99</v>
      </c>
      <c r="E78" s="1">
        <v>45242</v>
      </c>
      <c r="F78" s="24">
        <f t="shared" si="10"/>
        <v>2023</v>
      </c>
      <c r="G78" s="24" t="str">
        <f t="shared" si="11"/>
        <v>November</v>
      </c>
      <c r="H78" s="24" t="str">
        <f t="shared" si="12"/>
        <v>Sunday</v>
      </c>
      <c r="I78" s="22">
        <v>0.45398148148148149</v>
      </c>
      <c r="J78" s="24">
        <f t="shared" si="13"/>
        <v>10</v>
      </c>
      <c r="K78" s="24">
        <f t="shared" si="14"/>
        <v>53</v>
      </c>
      <c r="L78" s="24">
        <f t="shared" si="15"/>
        <v>44</v>
      </c>
      <c r="M78" t="s">
        <v>49</v>
      </c>
      <c r="N78" t="s">
        <v>50</v>
      </c>
      <c r="O78" s="24">
        <v>3</v>
      </c>
      <c r="P78" s="11">
        <v>180.81</v>
      </c>
      <c r="Q78" s="26">
        <f>VLOOKUP('Prepared Sales Dataset'!M78,'Product-cost'!A:B,2,FALSE)</f>
        <v>150</v>
      </c>
      <c r="R78" t="s">
        <v>28</v>
      </c>
      <c r="S78" t="s">
        <v>122</v>
      </c>
      <c r="U78" t="s">
        <v>923</v>
      </c>
      <c r="V78" s="17">
        <f>P78*O78</f>
        <v>542.43000000000006</v>
      </c>
      <c r="W78" s="19">
        <f>O78*Q78</f>
        <v>450</v>
      </c>
      <c r="X78" s="13">
        <f>VLOOKUP(R78,Taxrate!A:B,2,FALSE)</f>
        <v>0.1</v>
      </c>
      <c r="Y78" s="15">
        <f t="shared" si="16"/>
        <v>54.243000000000009</v>
      </c>
      <c r="Z78" s="9">
        <f>VLOOKUP(M78,'Discount Rate'!A:B,2,FALSE)</f>
        <v>7.0000000000000007E-2</v>
      </c>
      <c r="AA78" s="11">
        <f t="shared" si="17"/>
        <v>37.970100000000009</v>
      </c>
      <c r="AB78" s="15">
        <f t="shared" si="18"/>
        <v>450.21690000000001</v>
      </c>
      <c r="AC78" s="15">
        <f t="shared" si="19"/>
        <v>0.21690000000000964</v>
      </c>
    </row>
    <row r="79" spans="1:29" x14ac:dyDescent="0.35">
      <c r="A79" t="s">
        <v>260</v>
      </c>
      <c r="B79" t="s">
        <v>261</v>
      </c>
      <c r="C79" t="s">
        <v>128</v>
      </c>
      <c r="D79" t="s">
        <v>63</v>
      </c>
      <c r="E79" s="1">
        <v>45324</v>
      </c>
      <c r="F79" s="24">
        <f t="shared" si="10"/>
        <v>2024</v>
      </c>
      <c r="G79" s="24" t="str">
        <f t="shared" si="11"/>
        <v>February</v>
      </c>
      <c r="H79" s="24" t="str">
        <f t="shared" si="12"/>
        <v>Friday</v>
      </c>
      <c r="I79" s="22">
        <v>0.77532407407407411</v>
      </c>
      <c r="J79" s="24">
        <f t="shared" si="13"/>
        <v>18</v>
      </c>
      <c r="K79" s="24">
        <f t="shared" si="14"/>
        <v>36</v>
      </c>
      <c r="L79" s="24">
        <f t="shared" si="15"/>
        <v>28</v>
      </c>
      <c r="M79" t="s">
        <v>78</v>
      </c>
      <c r="N79" t="s">
        <v>79</v>
      </c>
      <c r="O79" s="24">
        <v>13</v>
      </c>
      <c r="P79" s="11">
        <v>159.56</v>
      </c>
      <c r="Q79" s="26">
        <f>VLOOKUP('Prepared Sales Dataset'!M79,'Product-cost'!A:B,2,FALSE)</f>
        <v>50</v>
      </c>
      <c r="R79" t="s">
        <v>35</v>
      </c>
      <c r="S79" t="s">
        <v>64</v>
      </c>
      <c r="U79" t="s">
        <v>923</v>
      </c>
      <c r="V79" s="17">
        <f>P79*O79</f>
        <v>2074.2800000000002</v>
      </c>
      <c r="W79" s="19">
        <f>O79*Q79</f>
        <v>650</v>
      </c>
      <c r="X79" s="13">
        <f>VLOOKUP(R79,Taxrate!A:B,2,FALSE)</f>
        <v>0.2</v>
      </c>
      <c r="Y79" s="15">
        <f t="shared" si="16"/>
        <v>414.85600000000005</v>
      </c>
      <c r="Z79" s="9">
        <f>VLOOKUP(M79,'Discount Rate'!A:B,2,FALSE)</f>
        <v>0.03</v>
      </c>
      <c r="AA79" s="11">
        <f t="shared" si="17"/>
        <v>62.228400000000001</v>
      </c>
      <c r="AB79" s="15">
        <f t="shared" si="18"/>
        <v>1597.1956</v>
      </c>
      <c r="AC79" s="15">
        <f t="shared" si="19"/>
        <v>947.19560000000001</v>
      </c>
    </row>
    <row r="80" spans="1:29" x14ac:dyDescent="0.35">
      <c r="A80" t="s">
        <v>262</v>
      </c>
      <c r="B80" t="s">
        <v>263</v>
      </c>
      <c r="C80" t="s">
        <v>136</v>
      </c>
      <c r="D80" t="s">
        <v>25</v>
      </c>
      <c r="E80" s="1">
        <v>45510</v>
      </c>
      <c r="F80" s="24">
        <f t="shared" si="10"/>
        <v>2024</v>
      </c>
      <c r="G80" s="24" t="str">
        <f t="shared" si="11"/>
        <v>August</v>
      </c>
      <c r="H80" s="24" t="str">
        <f t="shared" si="12"/>
        <v>Tuesday</v>
      </c>
      <c r="I80" s="22">
        <v>0.84047453703703701</v>
      </c>
      <c r="J80" s="24">
        <f t="shared" si="13"/>
        <v>20</v>
      </c>
      <c r="K80" s="24">
        <f t="shared" si="14"/>
        <v>10</v>
      </c>
      <c r="L80" s="24">
        <f t="shared" si="15"/>
        <v>17</v>
      </c>
      <c r="M80" t="s">
        <v>78</v>
      </c>
      <c r="N80" t="s">
        <v>79</v>
      </c>
      <c r="O80" s="24">
        <v>3</v>
      </c>
      <c r="P80" s="11">
        <v>126.88</v>
      </c>
      <c r="Q80" s="26">
        <f>VLOOKUP('Prepared Sales Dataset'!M80,'Product-cost'!A:B,2,FALSE)</f>
        <v>50</v>
      </c>
      <c r="R80" t="s">
        <v>35</v>
      </c>
      <c r="S80" t="s">
        <v>29</v>
      </c>
      <c r="U80" t="s">
        <v>923</v>
      </c>
      <c r="V80" s="17">
        <f>P80*O80</f>
        <v>380.64</v>
      </c>
      <c r="W80" s="19">
        <f>O80*Q80</f>
        <v>150</v>
      </c>
      <c r="X80" s="13">
        <f>VLOOKUP(R80,Taxrate!A:B,2,FALSE)</f>
        <v>0.2</v>
      </c>
      <c r="Y80" s="15">
        <f t="shared" si="16"/>
        <v>76.128</v>
      </c>
      <c r="Z80" s="9">
        <f>VLOOKUP(M80,'Discount Rate'!A:B,2,FALSE)</f>
        <v>0.03</v>
      </c>
      <c r="AA80" s="11">
        <f t="shared" si="17"/>
        <v>11.4192</v>
      </c>
      <c r="AB80" s="15">
        <f t="shared" si="18"/>
        <v>293.09280000000001</v>
      </c>
      <c r="AC80" s="15">
        <f t="shared" si="19"/>
        <v>143.09280000000001</v>
      </c>
    </row>
    <row r="81" spans="1:29" x14ac:dyDescent="0.35">
      <c r="A81" t="s">
        <v>264</v>
      </c>
      <c r="B81" t="s">
        <v>265</v>
      </c>
      <c r="C81" t="s">
        <v>40</v>
      </c>
      <c r="D81" t="s">
        <v>41</v>
      </c>
      <c r="E81" s="1">
        <v>44984</v>
      </c>
      <c r="F81" s="24">
        <f t="shared" si="10"/>
        <v>2023</v>
      </c>
      <c r="G81" s="24" t="str">
        <f t="shared" si="11"/>
        <v>February</v>
      </c>
      <c r="H81" s="24" t="str">
        <f t="shared" si="12"/>
        <v>Monday</v>
      </c>
      <c r="I81" s="22">
        <v>0.4123263888888889</v>
      </c>
      <c r="J81" s="24">
        <f t="shared" si="13"/>
        <v>9</v>
      </c>
      <c r="K81" s="24">
        <f t="shared" si="14"/>
        <v>53</v>
      </c>
      <c r="L81" s="24">
        <f t="shared" si="15"/>
        <v>45</v>
      </c>
      <c r="M81" t="s">
        <v>33</v>
      </c>
      <c r="N81" t="s">
        <v>34</v>
      </c>
      <c r="O81" s="24">
        <v>3</v>
      </c>
      <c r="P81" s="11">
        <v>506</v>
      </c>
      <c r="Q81" s="26">
        <f>VLOOKUP('Prepared Sales Dataset'!M81,'Product-cost'!A:B,2,FALSE)</f>
        <v>200</v>
      </c>
      <c r="R81" t="s">
        <v>42</v>
      </c>
      <c r="S81" t="s">
        <v>90</v>
      </c>
      <c r="T81" t="s">
        <v>95</v>
      </c>
      <c r="U81" t="s">
        <v>921</v>
      </c>
      <c r="V81" s="17">
        <f>P81*O81</f>
        <v>1518</v>
      </c>
      <c r="W81" s="19">
        <f>O81*Q81</f>
        <v>600</v>
      </c>
      <c r="X81" s="13">
        <f>VLOOKUP(R81,Taxrate!A:B,2,FALSE)</f>
        <v>0.15</v>
      </c>
      <c r="Y81" s="15">
        <f t="shared" si="16"/>
        <v>227.7</v>
      </c>
      <c r="Z81" s="9">
        <f>VLOOKUP(M81,'Discount Rate'!A:B,2,FALSE)</f>
        <v>0.08</v>
      </c>
      <c r="AA81" s="11">
        <f t="shared" si="17"/>
        <v>121.44</v>
      </c>
      <c r="AB81" s="15">
        <f t="shared" si="18"/>
        <v>1168.8600000000001</v>
      </c>
      <c r="AC81" s="15">
        <f t="shared" si="19"/>
        <v>568.86000000000013</v>
      </c>
    </row>
    <row r="82" spans="1:29" x14ac:dyDescent="0.35">
      <c r="A82" t="s">
        <v>267</v>
      </c>
      <c r="B82" t="s">
        <v>268</v>
      </c>
      <c r="C82" t="s">
        <v>139</v>
      </c>
      <c r="D82" t="s">
        <v>25</v>
      </c>
      <c r="E82" s="1">
        <v>46173</v>
      </c>
      <c r="F82" s="24">
        <f t="shared" si="10"/>
        <v>2026</v>
      </c>
      <c r="G82" s="24" t="str">
        <f t="shared" si="11"/>
        <v>May</v>
      </c>
      <c r="H82" s="24" t="str">
        <f t="shared" si="12"/>
        <v>Sunday</v>
      </c>
      <c r="I82" s="22">
        <v>0.40923611111111113</v>
      </c>
      <c r="J82" s="24">
        <f t="shared" si="13"/>
        <v>9</v>
      </c>
      <c r="K82" s="24">
        <f t="shared" si="14"/>
        <v>49</v>
      </c>
      <c r="L82" s="24">
        <f t="shared" si="15"/>
        <v>18</v>
      </c>
      <c r="M82" t="s">
        <v>26</v>
      </c>
      <c r="N82" t="s">
        <v>27</v>
      </c>
      <c r="O82" s="24">
        <v>1</v>
      </c>
      <c r="P82" s="11">
        <v>671.69</v>
      </c>
      <c r="Q82" s="26">
        <f>VLOOKUP('Prepared Sales Dataset'!M82,'Product-cost'!A:B,2,FALSE)</f>
        <v>300</v>
      </c>
      <c r="R82" t="s">
        <v>59</v>
      </c>
      <c r="S82" t="s">
        <v>29</v>
      </c>
      <c r="T82" t="s">
        <v>21</v>
      </c>
      <c r="U82" t="s">
        <v>921</v>
      </c>
      <c r="V82" s="17">
        <f>P82*O82</f>
        <v>671.69</v>
      </c>
      <c r="W82" s="19">
        <f>O82*Q82</f>
        <v>300</v>
      </c>
      <c r="X82" s="13">
        <f>VLOOKUP(R82,Taxrate!A:B,2,FALSE)</f>
        <v>0.12</v>
      </c>
      <c r="Y82" s="15">
        <f t="shared" si="16"/>
        <v>80.602800000000002</v>
      </c>
      <c r="Z82" s="9">
        <f>VLOOKUP(M82,'Discount Rate'!A:B,2,FALSE)</f>
        <v>0.1</v>
      </c>
      <c r="AA82" s="11">
        <f t="shared" si="17"/>
        <v>67.169000000000011</v>
      </c>
      <c r="AB82" s="15">
        <f t="shared" si="18"/>
        <v>523.91820000000007</v>
      </c>
      <c r="AC82" s="15">
        <f t="shared" si="19"/>
        <v>223.91820000000007</v>
      </c>
    </row>
    <row r="83" spans="1:29" x14ac:dyDescent="0.35">
      <c r="A83" t="s">
        <v>269</v>
      </c>
      <c r="B83" t="s">
        <v>270</v>
      </c>
      <c r="C83" t="s">
        <v>106</v>
      </c>
      <c r="D83" t="s">
        <v>107</v>
      </c>
      <c r="E83" s="1">
        <v>46186</v>
      </c>
      <c r="F83" s="24">
        <f t="shared" si="10"/>
        <v>2026</v>
      </c>
      <c r="G83" s="24" t="str">
        <f t="shared" si="11"/>
        <v>June</v>
      </c>
      <c r="H83" s="24" t="str">
        <f t="shared" si="12"/>
        <v>Saturday</v>
      </c>
      <c r="I83" s="22">
        <v>0.48363425925925924</v>
      </c>
      <c r="J83" s="24">
        <f t="shared" si="13"/>
        <v>11</v>
      </c>
      <c r="K83" s="24">
        <f t="shared" si="14"/>
        <v>36</v>
      </c>
      <c r="L83" s="24">
        <f t="shared" si="15"/>
        <v>26</v>
      </c>
      <c r="M83" t="s">
        <v>26</v>
      </c>
      <c r="N83" t="s">
        <v>27</v>
      </c>
      <c r="O83" s="24">
        <v>2</v>
      </c>
      <c r="P83" s="11">
        <v>588.17999999999995</v>
      </c>
      <c r="Q83" s="26">
        <f>VLOOKUP('Prepared Sales Dataset'!M83,'Product-cost'!A:B,2,FALSE)</f>
        <v>300</v>
      </c>
      <c r="R83" t="s">
        <v>59</v>
      </c>
      <c r="S83" t="s">
        <v>112</v>
      </c>
      <c r="T83" t="s">
        <v>21</v>
      </c>
      <c r="U83" t="s">
        <v>921</v>
      </c>
      <c r="V83" s="17">
        <f>P83*O83</f>
        <v>1176.3599999999999</v>
      </c>
      <c r="W83" s="19">
        <f>O83*Q83</f>
        <v>600</v>
      </c>
      <c r="X83" s="13">
        <f>VLOOKUP(R83,Taxrate!A:B,2,FALSE)</f>
        <v>0.12</v>
      </c>
      <c r="Y83" s="15">
        <f t="shared" si="16"/>
        <v>141.16319999999999</v>
      </c>
      <c r="Z83" s="9">
        <f>VLOOKUP(M83,'Discount Rate'!A:B,2,FALSE)</f>
        <v>0.1</v>
      </c>
      <c r="AA83" s="11">
        <f t="shared" si="17"/>
        <v>117.636</v>
      </c>
      <c r="AB83" s="15">
        <f t="shared" si="18"/>
        <v>917.56079999999997</v>
      </c>
      <c r="AC83" s="15">
        <f t="shared" si="19"/>
        <v>317.56079999999997</v>
      </c>
    </row>
    <row r="84" spans="1:29" x14ac:dyDescent="0.35">
      <c r="A84" t="s">
        <v>271</v>
      </c>
      <c r="B84" t="s">
        <v>61</v>
      </c>
      <c r="C84" t="s">
        <v>205</v>
      </c>
      <c r="D84" t="s">
        <v>170</v>
      </c>
      <c r="E84" s="1">
        <v>45658</v>
      </c>
      <c r="F84" s="24">
        <f t="shared" si="10"/>
        <v>2025</v>
      </c>
      <c r="G84" s="24" t="str">
        <f t="shared" si="11"/>
        <v>January</v>
      </c>
      <c r="H84" s="24" t="str">
        <f t="shared" si="12"/>
        <v>Wednesday</v>
      </c>
      <c r="I84" s="22">
        <v>0.55261574074074071</v>
      </c>
      <c r="J84" s="24">
        <f t="shared" si="13"/>
        <v>13</v>
      </c>
      <c r="K84" s="24">
        <f t="shared" si="14"/>
        <v>15</v>
      </c>
      <c r="L84" s="24">
        <f t="shared" si="15"/>
        <v>46</v>
      </c>
      <c r="M84" t="s">
        <v>17</v>
      </c>
      <c r="N84" t="s">
        <v>18</v>
      </c>
      <c r="O84" s="24">
        <v>12</v>
      </c>
      <c r="P84" s="11">
        <v>866.7</v>
      </c>
      <c r="Q84" s="26">
        <f>VLOOKUP('Prepared Sales Dataset'!M84,'Product-cost'!A:B,2,FALSE)</f>
        <v>600</v>
      </c>
      <c r="R84" t="s">
        <v>28</v>
      </c>
      <c r="S84" t="s">
        <v>272</v>
      </c>
      <c r="T84" t="s">
        <v>95</v>
      </c>
      <c r="U84" t="s">
        <v>921</v>
      </c>
      <c r="V84" s="17">
        <f>P84*O84</f>
        <v>10400.400000000001</v>
      </c>
      <c r="W84" s="19">
        <f>O84*Q84</f>
        <v>7200</v>
      </c>
      <c r="X84" s="13">
        <f>VLOOKUP(R84,Taxrate!A:B,2,FALSE)</f>
        <v>0.1</v>
      </c>
      <c r="Y84" s="15">
        <f t="shared" si="16"/>
        <v>1040.0400000000002</v>
      </c>
      <c r="Z84" s="9">
        <f>VLOOKUP(M84,'Discount Rate'!A:B,2,FALSE)</f>
        <v>0.05</v>
      </c>
      <c r="AA84" s="11">
        <f t="shared" si="17"/>
        <v>520.0200000000001</v>
      </c>
      <c r="AB84" s="15">
        <f t="shared" si="18"/>
        <v>8840.34</v>
      </c>
      <c r="AC84" s="15">
        <f t="shared" si="19"/>
        <v>1640.3400000000001</v>
      </c>
    </row>
    <row r="85" spans="1:29" x14ac:dyDescent="0.35">
      <c r="A85" t="s">
        <v>273</v>
      </c>
      <c r="B85" t="s">
        <v>274</v>
      </c>
      <c r="C85" t="s">
        <v>70</v>
      </c>
      <c r="D85" t="s">
        <v>71</v>
      </c>
      <c r="E85" s="1">
        <v>45002</v>
      </c>
      <c r="F85" s="24">
        <f t="shared" si="10"/>
        <v>2023</v>
      </c>
      <c r="G85" s="24" t="str">
        <f t="shared" si="11"/>
        <v>March</v>
      </c>
      <c r="H85" s="24" t="str">
        <f t="shared" si="12"/>
        <v>Friday</v>
      </c>
      <c r="I85" s="22">
        <v>0.46030092592592592</v>
      </c>
      <c r="J85" s="24">
        <f t="shared" si="13"/>
        <v>11</v>
      </c>
      <c r="K85" s="24">
        <f t="shared" si="14"/>
        <v>2</v>
      </c>
      <c r="L85" s="24">
        <f t="shared" si="15"/>
        <v>50</v>
      </c>
      <c r="M85" t="s">
        <v>26</v>
      </c>
      <c r="N85" t="s">
        <v>27</v>
      </c>
      <c r="O85" s="24">
        <v>6</v>
      </c>
      <c r="P85" s="11">
        <v>634.62</v>
      </c>
      <c r="Q85" s="26">
        <f>VLOOKUP('Prepared Sales Dataset'!M85,'Product-cost'!A:B,2,FALSE)</f>
        <v>300</v>
      </c>
      <c r="R85" t="s">
        <v>59</v>
      </c>
      <c r="S85" t="s">
        <v>73</v>
      </c>
      <c r="U85" t="s">
        <v>923</v>
      </c>
      <c r="V85" s="17">
        <f>P85*O85</f>
        <v>3807.7200000000003</v>
      </c>
      <c r="W85" s="19">
        <f>O85*Q85</f>
        <v>1800</v>
      </c>
      <c r="X85" s="13">
        <f>VLOOKUP(R85,Taxrate!A:B,2,FALSE)</f>
        <v>0.12</v>
      </c>
      <c r="Y85" s="15">
        <f t="shared" si="16"/>
        <v>456.9264</v>
      </c>
      <c r="Z85" s="9">
        <f>VLOOKUP(M85,'Discount Rate'!A:B,2,FALSE)</f>
        <v>0.1</v>
      </c>
      <c r="AA85" s="11">
        <f t="shared" si="17"/>
        <v>380.77200000000005</v>
      </c>
      <c r="AB85" s="15">
        <f t="shared" si="18"/>
        <v>2970.0216</v>
      </c>
      <c r="AC85" s="15">
        <f t="shared" si="19"/>
        <v>1170.0216</v>
      </c>
    </row>
    <row r="86" spans="1:29" x14ac:dyDescent="0.35">
      <c r="A86" t="s">
        <v>275</v>
      </c>
      <c r="B86" t="s">
        <v>276</v>
      </c>
      <c r="C86" t="s">
        <v>205</v>
      </c>
      <c r="D86" t="s">
        <v>170</v>
      </c>
      <c r="E86" s="1">
        <v>45680</v>
      </c>
      <c r="F86" s="24">
        <f t="shared" si="10"/>
        <v>2025</v>
      </c>
      <c r="G86" s="24" t="str">
        <f t="shared" si="11"/>
        <v>January</v>
      </c>
      <c r="H86" s="24" t="str">
        <f t="shared" si="12"/>
        <v>Thursday</v>
      </c>
      <c r="I86" s="22">
        <v>0.61629629629629634</v>
      </c>
      <c r="J86" s="24">
        <f t="shared" si="13"/>
        <v>14</v>
      </c>
      <c r="K86" s="24">
        <f t="shared" si="14"/>
        <v>47</v>
      </c>
      <c r="L86" s="24">
        <f t="shared" si="15"/>
        <v>28</v>
      </c>
      <c r="M86" t="s">
        <v>78</v>
      </c>
      <c r="N86" t="s">
        <v>79</v>
      </c>
      <c r="O86" s="24">
        <v>3</v>
      </c>
      <c r="P86" s="11">
        <v>157.31</v>
      </c>
      <c r="Q86" s="26">
        <f>VLOOKUP('Prepared Sales Dataset'!M86,'Product-cost'!A:B,2,FALSE)</f>
        <v>50</v>
      </c>
      <c r="R86" t="s">
        <v>59</v>
      </c>
      <c r="S86" t="s">
        <v>272</v>
      </c>
      <c r="T86" t="s">
        <v>231</v>
      </c>
      <c r="U86" t="s">
        <v>922</v>
      </c>
      <c r="V86" s="17">
        <f>P86*O86</f>
        <v>471.93</v>
      </c>
      <c r="W86" s="19">
        <f>O86*Q86</f>
        <v>150</v>
      </c>
      <c r="X86" s="13">
        <f>VLOOKUP(R86,Taxrate!A:B,2,FALSE)</f>
        <v>0.12</v>
      </c>
      <c r="Y86" s="15">
        <f t="shared" si="16"/>
        <v>56.631599999999999</v>
      </c>
      <c r="Z86" s="9">
        <f>VLOOKUP(M86,'Discount Rate'!A:B,2,FALSE)</f>
        <v>0.03</v>
      </c>
      <c r="AA86" s="11">
        <f t="shared" si="17"/>
        <v>14.1579</v>
      </c>
      <c r="AB86" s="15">
        <f t="shared" si="18"/>
        <v>401.14049999999997</v>
      </c>
      <c r="AC86" s="15">
        <f t="shared" si="19"/>
        <v>251.14049999999997</v>
      </c>
    </row>
    <row r="87" spans="1:29" x14ac:dyDescent="0.35">
      <c r="A87" t="s">
        <v>277</v>
      </c>
      <c r="B87" t="s">
        <v>278</v>
      </c>
      <c r="C87" t="s">
        <v>15</v>
      </c>
      <c r="D87" t="s">
        <v>16</v>
      </c>
      <c r="E87" s="1">
        <v>45598</v>
      </c>
      <c r="F87" s="24">
        <f t="shared" si="10"/>
        <v>2024</v>
      </c>
      <c r="G87" s="24" t="str">
        <f t="shared" si="11"/>
        <v>November</v>
      </c>
      <c r="H87" s="24" t="str">
        <f t="shared" si="12"/>
        <v>Saturday</v>
      </c>
      <c r="I87" s="22">
        <v>0.5198842592592593</v>
      </c>
      <c r="J87" s="24">
        <f t="shared" si="13"/>
        <v>12</v>
      </c>
      <c r="K87" s="24">
        <f t="shared" si="14"/>
        <v>28</v>
      </c>
      <c r="L87" s="24">
        <f t="shared" si="15"/>
        <v>38</v>
      </c>
      <c r="M87" t="s">
        <v>78</v>
      </c>
      <c r="N87" t="s">
        <v>79</v>
      </c>
      <c r="O87" s="24">
        <v>8</v>
      </c>
      <c r="P87" s="11">
        <v>123.18</v>
      </c>
      <c r="Q87" s="26">
        <f>VLOOKUP('Prepared Sales Dataset'!M87,'Product-cost'!A:B,2,FALSE)</f>
        <v>50</v>
      </c>
      <c r="R87" t="s">
        <v>28</v>
      </c>
      <c r="S87" t="s">
        <v>20</v>
      </c>
      <c r="U87" t="s">
        <v>923</v>
      </c>
      <c r="V87" s="17">
        <f>P87*O87</f>
        <v>985.44</v>
      </c>
      <c r="W87" s="19">
        <f>O87*Q87</f>
        <v>400</v>
      </c>
      <c r="X87" s="13">
        <f>VLOOKUP(R87,Taxrate!A:B,2,FALSE)</f>
        <v>0.1</v>
      </c>
      <c r="Y87" s="15">
        <f t="shared" si="16"/>
        <v>98.544000000000011</v>
      </c>
      <c r="Z87" s="9">
        <f>VLOOKUP(M87,'Discount Rate'!A:B,2,FALSE)</f>
        <v>0.03</v>
      </c>
      <c r="AA87" s="11">
        <f t="shared" si="17"/>
        <v>29.563200000000002</v>
      </c>
      <c r="AB87" s="15">
        <f t="shared" si="18"/>
        <v>857.33280000000002</v>
      </c>
      <c r="AC87" s="15">
        <f t="shared" si="19"/>
        <v>457.33280000000002</v>
      </c>
    </row>
    <row r="88" spans="1:29" x14ac:dyDescent="0.35">
      <c r="A88" t="s">
        <v>279</v>
      </c>
      <c r="B88" t="s">
        <v>280</v>
      </c>
      <c r="C88" t="s">
        <v>62</v>
      </c>
      <c r="D88" t="s">
        <v>63</v>
      </c>
      <c r="E88" s="1">
        <v>45219</v>
      </c>
      <c r="F88" s="24">
        <f t="shared" si="10"/>
        <v>2023</v>
      </c>
      <c r="G88" s="24" t="str">
        <f t="shared" si="11"/>
        <v>October</v>
      </c>
      <c r="H88" s="24" t="str">
        <f t="shared" si="12"/>
        <v>Friday</v>
      </c>
      <c r="I88" s="22">
        <v>0.33893518518518517</v>
      </c>
      <c r="J88" s="24">
        <f t="shared" si="13"/>
        <v>8</v>
      </c>
      <c r="K88" s="24">
        <f t="shared" si="14"/>
        <v>8</v>
      </c>
      <c r="L88" s="24">
        <f t="shared" si="15"/>
        <v>4</v>
      </c>
      <c r="M88" t="s">
        <v>26</v>
      </c>
      <c r="N88" t="s">
        <v>27</v>
      </c>
      <c r="O88" s="24">
        <v>6</v>
      </c>
      <c r="P88" s="11">
        <v>764.84</v>
      </c>
      <c r="Q88" s="26">
        <f>VLOOKUP('Prepared Sales Dataset'!M88,'Product-cost'!A:B,2,FALSE)</f>
        <v>300</v>
      </c>
      <c r="R88" t="s">
        <v>55</v>
      </c>
      <c r="S88" t="s">
        <v>241</v>
      </c>
      <c r="T88" t="s">
        <v>30</v>
      </c>
      <c r="U88" t="s">
        <v>921</v>
      </c>
      <c r="V88" s="17">
        <f>P88*O88</f>
        <v>4589.04</v>
      </c>
      <c r="W88" s="19">
        <f>O88*Q88</f>
        <v>1800</v>
      </c>
      <c r="X88" s="13">
        <f>VLOOKUP(R88,Taxrate!A:B,2,FALSE)</f>
        <v>7.0000000000000007E-2</v>
      </c>
      <c r="Y88" s="15">
        <f t="shared" si="16"/>
        <v>321.23280000000005</v>
      </c>
      <c r="Z88" s="9">
        <f>VLOOKUP(M88,'Discount Rate'!A:B,2,FALSE)</f>
        <v>0.1</v>
      </c>
      <c r="AA88" s="11">
        <f t="shared" si="17"/>
        <v>458.904</v>
      </c>
      <c r="AB88" s="15">
        <f t="shared" si="18"/>
        <v>3808.9031999999997</v>
      </c>
      <c r="AC88" s="15">
        <f t="shared" si="19"/>
        <v>2008.9031999999997</v>
      </c>
    </row>
    <row r="89" spans="1:29" x14ac:dyDescent="0.35">
      <c r="A89" t="s">
        <v>282</v>
      </c>
      <c r="B89" t="s">
        <v>283</v>
      </c>
      <c r="C89" t="s">
        <v>169</v>
      </c>
      <c r="D89" t="s">
        <v>170</v>
      </c>
      <c r="E89" s="1">
        <v>46257</v>
      </c>
      <c r="F89" s="24">
        <f t="shared" si="10"/>
        <v>2026</v>
      </c>
      <c r="G89" s="24" t="str">
        <f t="shared" si="11"/>
        <v>August</v>
      </c>
      <c r="H89" s="24" t="str">
        <f t="shared" si="12"/>
        <v>Sunday</v>
      </c>
      <c r="I89" s="22">
        <v>0.4632060185185185</v>
      </c>
      <c r="J89" s="24">
        <f t="shared" si="13"/>
        <v>11</v>
      </c>
      <c r="K89" s="24">
        <f t="shared" si="14"/>
        <v>7</v>
      </c>
      <c r="L89" s="24">
        <f t="shared" si="15"/>
        <v>1</v>
      </c>
      <c r="M89" t="s">
        <v>26</v>
      </c>
      <c r="N89" t="s">
        <v>27</v>
      </c>
      <c r="O89" s="24">
        <v>7</v>
      </c>
      <c r="P89" s="11">
        <v>515.33000000000004</v>
      </c>
      <c r="Q89" s="26">
        <f>VLOOKUP('Prepared Sales Dataset'!M89,'Product-cost'!A:B,2,FALSE)</f>
        <v>300</v>
      </c>
      <c r="R89" t="s">
        <v>28</v>
      </c>
      <c r="S89" t="s">
        <v>171</v>
      </c>
      <c r="T89" t="s">
        <v>103</v>
      </c>
      <c r="U89" t="s">
        <v>921</v>
      </c>
      <c r="V89" s="17">
        <f>P89*O89</f>
        <v>3607.3100000000004</v>
      </c>
      <c r="W89" s="19">
        <f>O89*Q89</f>
        <v>2100</v>
      </c>
      <c r="X89" s="13">
        <f>VLOOKUP(R89,Taxrate!A:B,2,FALSE)</f>
        <v>0.1</v>
      </c>
      <c r="Y89" s="15">
        <f t="shared" si="16"/>
        <v>360.73100000000005</v>
      </c>
      <c r="Z89" s="9">
        <f>VLOOKUP(M89,'Discount Rate'!A:B,2,FALSE)</f>
        <v>0.1</v>
      </c>
      <c r="AA89" s="11">
        <f t="shared" si="17"/>
        <v>360.73100000000005</v>
      </c>
      <c r="AB89" s="15">
        <f t="shared" si="18"/>
        <v>2885.8480000000004</v>
      </c>
      <c r="AC89" s="15">
        <f t="shared" si="19"/>
        <v>785.84800000000041</v>
      </c>
    </row>
    <row r="90" spans="1:29" x14ac:dyDescent="0.35">
      <c r="A90" t="s">
        <v>284</v>
      </c>
      <c r="B90" t="s">
        <v>285</v>
      </c>
      <c r="C90" t="s">
        <v>150</v>
      </c>
      <c r="D90" t="s">
        <v>25</v>
      </c>
      <c r="E90" s="1">
        <v>46323</v>
      </c>
      <c r="F90" s="24">
        <f t="shared" si="10"/>
        <v>2026</v>
      </c>
      <c r="G90" s="24" t="str">
        <f t="shared" si="11"/>
        <v>October</v>
      </c>
      <c r="H90" s="24" t="str">
        <f t="shared" si="12"/>
        <v>Wednesday</v>
      </c>
      <c r="I90" s="22">
        <v>0.76579861111111114</v>
      </c>
      <c r="J90" s="24">
        <f t="shared" si="13"/>
        <v>18</v>
      </c>
      <c r="K90" s="24">
        <f t="shared" si="14"/>
        <v>22</v>
      </c>
      <c r="L90" s="24">
        <f t="shared" si="15"/>
        <v>45</v>
      </c>
      <c r="M90" t="s">
        <v>17</v>
      </c>
      <c r="N90" t="s">
        <v>18</v>
      </c>
      <c r="O90" s="24">
        <v>5</v>
      </c>
      <c r="P90" s="11">
        <v>1225.68</v>
      </c>
      <c r="Q90" s="26">
        <f>VLOOKUP('Prepared Sales Dataset'!M90,'Product-cost'!A:B,2,FALSE)</f>
        <v>600</v>
      </c>
      <c r="R90" t="s">
        <v>35</v>
      </c>
      <c r="S90" t="s">
        <v>155</v>
      </c>
      <c r="T90" t="s">
        <v>74</v>
      </c>
      <c r="U90" t="s">
        <v>922</v>
      </c>
      <c r="V90" s="17">
        <f>P90*O90</f>
        <v>6128.4000000000005</v>
      </c>
      <c r="W90" s="19">
        <f>O90*Q90</f>
        <v>3000</v>
      </c>
      <c r="X90" s="13">
        <f>VLOOKUP(R90,Taxrate!A:B,2,FALSE)</f>
        <v>0.2</v>
      </c>
      <c r="Y90" s="15">
        <f t="shared" si="16"/>
        <v>1225.68</v>
      </c>
      <c r="Z90" s="9">
        <f>VLOOKUP(M90,'Discount Rate'!A:B,2,FALSE)</f>
        <v>0.05</v>
      </c>
      <c r="AA90" s="11">
        <f t="shared" si="17"/>
        <v>306.42</v>
      </c>
      <c r="AB90" s="15">
        <f t="shared" si="18"/>
        <v>4596.3</v>
      </c>
      <c r="AC90" s="15">
        <f t="shared" si="19"/>
        <v>1596.3000000000002</v>
      </c>
    </row>
    <row r="91" spans="1:29" x14ac:dyDescent="0.35">
      <c r="A91" t="s">
        <v>286</v>
      </c>
      <c r="B91" t="s">
        <v>287</v>
      </c>
      <c r="C91" t="s">
        <v>67</v>
      </c>
      <c r="D91" t="s">
        <v>16</v>
      </c>
      <c r="E91" s="1">
        <v>45884</v>
      </c>
      <c r="F91" s="24">
        <f t="shared" si="10"/>
        <v>2025</v>
      </c>
      <c r="G91" s="24" t="str">
        <f t="shared" si="11"/>
        <v>August</v>
      </c>
      <c r="H91" s="24" t="str">
        <f t="shared" si="12"/>
        <v>Friday</v>
      </c>
      <c r="I91" s="22">
        <v>0.74728009259259254</v>
      </c>
      <c r="J91" s="24">
        <f t="shared" si="13"/>
        <v>17</v>
      </c>
      <c r="K91" s="24">
        <f t="shared" si="14"/>
        <v>56</v>
      </c>
      <c r="L91" s="24">
        <f t="shared" si="15"/>
        <v>5</v>
      </c>
      <c r="M91" t="s">
        <v>17</v>
      </c>
      <c r="N91" t="s">
        <v>18</v>
      </c>
      <c r="O91" s="24">
        <v>12</v>
      </c>
      <c r="P91" s="11">
        <v>1062.8499999999999</v>
      </c>
      <c r="Q91" s="26">
        <f>VLOOKUP('Prepared Sales Dataset'!M91,'Product-cost'!A:B,2,FALSE)</f>
        <v>600</v>
      </c>
      <c r="R91" t="s">
        <v>42</v>
      </c>
      <c r="S91" t="s">
        <v>20</v>
      </c>
      <c r="T91" t="s">
        <v>249</v>
      </c>
      <c r="U91" t="s">
        <v>921</v>
      </c>
      <c r="V91" s="17">
        <f>P91*O91</f>
        <v>12754.199999999999</v>
      </c>
      <c r="W91" s="19">
        <f>O91*Q91</f>
        <v>7200</v>
      </c>
      <c r="X91" s="13">
        <f>VLOOKUP(R91,Taxrate!A:B,2,FALSE)</f>
        <v>0.15</v>
      </c>
      <c r="Y91" s="15">
        <f t="shared" si="16"/>
        <v>1913.1299999999997</v>
      </c>
      <c r="Z91" s="9">
        <f>VLOOKUP(M91,'Discount Rate'!A:B,2,FALSE)</f>
        <v>0.05</v>
      </c>
      <c r="AA91" s="11">
        <f t="shared" si="17"/>
        <v>637.71</v>
      </c>
      <c r="AB91" s="15">
        <f t="shared" si="18"/>
        <v>10203.359999999999</v>
      </c>
      <c r="AC91" s="15">
        <f t="shared" si="19"/>
        <v>3003.3599999999988</v>
      </c>
    </row>
    <row r="92" spans="1:29" x14ac:dyDescent="0.35">
      <c r="A92" t="s">
        <v>288</v>
      </c>
      <c r="B92" t="s">
        <v>289</v>
      </c>
      <c r="C92" t="s">
        <v>67</v>
      </c>
      <c r="D92" t="s">
        <v>16</v>
      </c>
      <c r="E92" s="1">
        <v>45191</v>
      </c>
      <c r="F92" s="24">
        <f t="shared" si="10"/>
        <v>2023</v>
      </c>
      <c r="G92" s="24" t="str">
        <f t="shared" si="11"/>
        <v>September</v>
      </c>
      <c r="H92" s="24" t="str">
        <f t="shared" si="12"/>
        <v>Friday</v>
      </c>
      <c r="I92" s="22">
        <v>0.70758101851851851</v>
      </c>
      <c r="J92" s="24">
        <f t="shared" si="13"/>
        <v>16</v>
      </c>
      <c r="K92" s="24">
        <f t="shared" si="14"/>
        <v>58</v>
      </c>
      <c r="L92" s="24">
        <f t="shared" si="15"/>
        <v>55</v>
      </c>
      <c r="M92" t="s">
        <v>17</v>
      </c>
      <c r="N92" t="s">
        <v>18</v>
      </c>
      <c r="O92" s="24">
        <v>9</v>
      </c>
      <c r="P92" s="11">
        <v>882.33</v>
      </c>
      <c r="Q92" s="26">
        <f>VLOOKUP('Prepared Sales Dataset'!M92,'Product-cost'!A:B,2,FALSE)</f>
        <v>600</v>
      </c>
      <c r="R92" t="s">
        <v>28</v>
      </c>
      <c r="S92" t="s">
        <v>36</v>
      </c>
      <c r="T92" t="s">
        <v>172</v>
      </c>
      <c r="U92" t="s">
        <v>921</v>
      </c>
      <c r="V92" s="17">
        <f>P92*O92</f>
        <v>7940.97</v>
      </c>
      <c r="W92" s="19">
        <f>O92*Q92</f>
        <v>5400</v>
      </c>
      <c r="X92" s="13">
        <f>VLOOKUP(R92,Taxrate!A:B,2,FALSE)</f>
        <v>0.1</v>
      </c>
      <c r="Y92" s="15">
        <f t="shared" si="16"/>
        <v>794.09700000000009</v>
      </c>
      <c r="Z92" s="9">
        <f>VLOOKUP(M92,'Discount Rate'!A:B,2,FALSE)</f>
        <v>0.05</v>
      </c>
      <c r="AA92" s="11">
        <f t="shared" si="17"/>
        <v>397.04850000000005</v>
      </c>
      <c r="AB92" s="15">
        <f t="shared" si="18"/>
        <v>6749.8245000000006</v>
      </c>
      <c r="AC92" s="15">
        <f t="shared" si="19"/>
        <v>1349.8245000000006</v>
      </c>
    </row>
    <row r="93" spans="1:29" x14ac:dyDescent="0.35">
      <c r="A93" t="s">
        <v>290</v>
      </c>
      <c r="B93" t="s">
        <v>291</v>
      </c>
      <c r="C93" t="s">
        <v>67</v>
      </c>
      <c r="D93" t="s">
        <v>16</v>
      </c>
      <c r="E93" s="1">
        <v>45183</v>
      </c>
      <c r="F93" s="24">
        <f t="shared" si="10"/>
        <v>2023</v>
      </c>
      <c r="G93" s="24" t="str">
        <f t="shared" si="11"/>
        <v>September</v>
      </c>
      <c r="H93" s="24" t="str">
        <f t="shared" si="12"/>
        <v>Thursday</v>
      </c>
      <c r="I93" s="22">
        <v>0.73200231481481481</v>
      </c>
      <c r="J93" s="24">
        <f t="shared" si="13"/>
        <v>17</v>
      </c>
      <c r="K93" s="24">
        <f t="shared" si="14"/>
        <v>34</v>
      </c>
      <c r="L93" s="24">
        <f t="shared" si="15"/>
        <v>5</v>
      </c>
      <c r="M93" t="s">
        <v>49</v>
      </c>
      <c r="N93" t="s">
        <v>50</v>
      </c>
      <c r="O93" s="24">
        <v>10</v>
      </c>
      <c r="P93" s="11">
        <v>192.96</v>
      </c>
      <c r="Q93" s="26">
        <f>VLOOKUP('Prepared Sales Dataset'!M93,'Product-cost'!A:B,2,FALSE)</f>
        <v>150</v>
      </c>
      <c r="R93" t="s">
        <v>59</v>
      </c>
      <c r="S93" t="s">
        <v>20</v>
      </c>
      <c r="T93" t="s">
        <v>166</v>
      </c>
      <c r="U93" t="s">
        <v>921</v>
      </c>
      <c r="V93" s="17">
        <f>P93*O93</f>
        <v>1929.6000000000001</v>
      </c>
      <c r="W93" s="19">
        <f>O93*Q93</f>
        <v>1500</v>
      </c>
      <c r="X93" s="13">
        <f>VLOOKUP(R93,Taxrate!A:B,2,FALSE)</f>
        <v>0.12</v>
      </c>
      <c r="Y93" s="15">
        <f t="shared" si="16"/>
        <v>231.55200000000002</v>
      </c>
      <c r="Z93" s="9">
        <f>VLOOKUP(M93,'Discount Rate'!A:B,2,FALSE)</f>
        <v>7.0000000000000007E-2</v>
      </c>
      <c r="AA93" s="11">
        <f t="shared" si="17"/>
        <v>135.07200000000003</v>
      </c>
      <c r="AB93" s="15">
        <f t="shared" si="18"/>
        <v>1562.9760000000001</v>
      </c>
      <c r="AC93" s="15">
        <f t="shared" si="19"/>
        <v>62.976000000000113</v>
      </c>
    </row>
    <row r="94" spans="1:29" x14ac:dyDescent="0.35">
      <c r="A94" t="s">
        <v>292</v>
      </c>
      <c r="B94" t="s">
        <v>293</v>
      </c>
      <c r="C94" t="s">
        <v>179</v>
      </c>
      <c r="D94" t="s">
        <v>41</v>
      </c>
      <c r="E94" s="1">
        <v>46260</v>
      </c>
      <c r="F94" s="24">
        <f t="shared" si="10"/>
        <v>2026</v>
      </c>
      <c r="G94" s="24" t="str">
        <f t="shared" si="11"/>
        <v>August</v>
      </c>
      <c r="H94" s="24" t="str">
        <f t="shared" si="12"/>
        <v>Wednesday</v>
      </c>
      <c r="I94" s="22">
        <v>0.85863425925925929</v>
      </c>
      <c r="J94" s="24">
        <f t="shared" si="13"/>
        <v>20</v>
      </c>
      <c r="K94" s="24">
        <f t="shared" si="14"/>
        <v>36</v>
      </c>
      <c r="L94" s="24">
        <f t="shared" si="15"/>
        <v>26</v>
      </c>
      <c r="M94" t="s">
        <v>49</v>
      </c>
      <c r="N94" t="s">
        <v>50</v>
      </c>
      <c r="O94" s="24">
        <v>8</v>
      </c>
      <c r="P94" s="11">
        <v>236.01</v>
      </c>
      <c r="Q94" s="26">
        <f>VLOOKUP('Prepared Sales Dataset'!M94,'Product-cost'!A:B,2,FALSE)</f>
        <v>150</v>
      </c>
      <c r="R94" t="s">
        <v>28</v>
      </c>
      <c r="S94" t="s">
        <v>43</v>
      </c>
      <c r="U94" t="s">
        <v>923</v>
      </c>
      <c r="V94" s="17">
        <f>P94*O94</f>
        <v>1888.08</v>
      </c>
      <c r="W94" s="19">
        <f>O94*Q94</f>
        <v>1200</v>
      </c>
      <c r="X94" s="13">
        <f>VLOOKUP(R94,Taxrate!A:B,2,FALSE)</f>
        <v>0.1</v>
      </c>
      <c r="Y94" s="15">
        <f t="shared" si="16"/>
        <v>188.80799999999999</v>
      </c>
      <c r="Z94" s="9">
        <f>VLOOKUP(M94,'Discount Rate'!A:B,2,FALSE)</f>
        <v>7.0000000000000007E-2</v>
      </c>
      <c r="AA94" s="11">
        <f t="shared" si="17"/>
        <v>132.16560000000001</v>
      </c>
      <c r="AB94" s="15">
        <f t="shared" si="18"/>
        <v>1567.1063999999999</v>
      </c>
      <c r="AC94" s="15">
        <f t="shared" si="19"/>
        <v>367.10639999999989</v>
      </c>
    </row>
    <row r="95" spans="1:29" x14ac:dyDescent="0.35">
      <c r="A95" t="s">
        <v>294</v>
      </c>
      <c r="B95" t="s">
        <v>295</v>
      </c>
      <c r="C95" t="s">
        <v>77</v>
      </c>
      <c r="D95" t="s">
        <v>63</v>
      </c>
      <c r="E95" s="1">
        <v>45344</v>
      </c>
      <c r="F95" s="24">
        <f t="shared" si="10"/>
        <v>2024</v>
      </c>
      <c r="G95" s="24" t="str">
        <f t="shared" si="11"/>
        <v>February</v>
      </c>
      <c r="H95" s="24" t="str">
        <f t="shared" si="12"/>
        <v>Thursday</v>
      </c>
      <c r="I95" s="22">
        <v>0.71481481481481479</v>
      </c>
      <c r="J95" s="24">
        <f t="shared" si="13"/>
        <v>17</v>
      </c>
      <c r="K95" s="24">
        <f t="shared" si="14"/>
        <v>9</v>
      </c>
      <c r="L95" s="24">
        <f t="shared" si="15"/>
        <v>20</v>
      </c>
      <c r="M95" t="s">
        <v>33</v>
      </c>
      <c r="N95" t="s">
        <v>34</v>
      </c>
      <c r="O95" s="24">
        <v>14</v>
      </c>
      <c r="P95" s="11">
        <v>399.74</v>
      </c>
      <c r="Q95" s="26">
        <f>VLOOKUP('Prepared Sales Dataset'!M95,'Product-cost'!A:B,2,FALSE)</f>
        <v>200</v>
      </c>
      <c r="R95" t="s">
        <v>28</v>
      </c>
      <c r="S95" t="s">
        <v>241</v>
      </c>
      <c r="T95" t="s">
        <v>37</v>
      </c>
      <c r="U95" t="s">
        <v>921</v>
      </c>
      <c r="V95" s="17">
        <f>P95*O95</f>
        <v>5596.3600000000006</v>
      </c>
      <c r="W95" s="19">
        <f>O95*Q95</f>
        <v>2800</v>
      </c>
      <c r="X95" s="13">
        <f>VLOOKUP(R95,Taxrate!A:B,2,FALSE)</f>
        <v>0.1</v>
      </c>
      <c r="Y95" s="15">
        <f t="shared" si="16"/>
        <v>559.63600000000008</v>
      </c>
      <c r="Z95" s="9">
        <f>VLOOKUP(M95,'Discount Rate'!A:B,2,FALSE)</f>
        <v>0.08</v>
      </c>
      <c r="AA95" s="11">
        <f t="shared" si="17"/>
        <v>447.70880000000005</v>
      </c>
      <c r="AB95" s="15">
        <f t="shared" si="18"/>
        <v>4589.0152000000007</v>
      </c>
      <c r="AC95" s="15">
        <f t="shared" si="19"/>
        <v>1789.0152000000007</v>
      </c>
    </row>
    <row r="96" spans="1:29" x14ac:dyDescent="0.35">
      <c r="A96" t="s">
        <v>296</v>
      </c>
      <c r="B96" t="s">
        <v>297</v>
      </c>
      <c r="C96" t="s">
        <v>169</v>
      </c>
      <c r="D96" t="s">
        <v>170</v>
      </c>
      <c r="E96" s="1">
        <v>45435</v>
      </c>
      <c r="F96" s="24">
        <f t="shared" si="10"/>
        <v>2024</v>
      </c>
      <c r="G96" s="24" t="str">
        <f t="shared" si="11"/>
        <v>May</v>
      </c>
      <c r="H96" s="24" t="str">
        <f t="shared" si="12"/>
        <v>Thursday</v>
      </c>
      <c r="I96" s="22">
        <v>0.88957175925925924</v>
      </c>
      <c r="J96" s="24">
        <f t="shared" si="13"/>
        <v>21</v>
      </c>
      <c r="K96" s="24">
        <f t="shared" si="14"/>
        <v>20</v>
      </c>
      <c r="L96" s="24">
        <f t="shared" si="15"/>
        <v>59</v>
      </c>
      <c r="M96" t="s">
        <v>49</v>
      </c>
      <c r="N96" t="s">
        <v>50</v>
      </c>
      <c r="O96" s="24">
        <v>4</v>
      </c>
      <c r="P96" s="11">
        <v>230.81</v>
      </c>
      <c r="Q96" s="26">
        <f>VLOOKUP('Prepared Sales Dataset'!M96,'Product-cost'!A:B,2,FALSE)</f>
        <v>150</v>
      </c>
      <c r="R96" t="s">
        <v>59</v>
      </c>
      <c r="S96" t="s">
        <v>171</v>
      </c>
      <c r="T96" t="s">
        <v>249</v>
      </c>
      <c r="U96" t="s">
        <v>921</v>
      </c>
      <c r="V96" s="17">
        <f>P96*O96</f>
        <v>923.24</v>
      </c>
      <c r="W96" s="19">
        <f>O96*Q96</f>
        <v>600</v>
      </c>
      <c r="X96" s="13">
        <f>VLOOKUP(R96,Taxrate!A:B,2,FALSE)</f>
        <v>0.12</v>
      </c>
      <c r="Y96" s="15">
        <f t="shared" si="16"/>
        <v>110.78879999999999</v>
      </c>
      <c r="Z96" s="9">
        <f>VLOOKUP(M96,'Discount Rate'!A:B,2,FALSE)</f>
        <v>7.0000000000000007E-2</v>
      </c>
      <c r="AA96" s="11">
        <f t="shared" si="17"/>
        <v>64.626800000000003</v>
      </c>
      <c r="AB96" s="15">
        <f t="shared" si="18"/>
        <v>747.82439999999997</v>
      </c>
      <c r="AC96" s="15">
        <f t="shared" si="19"/>
        <v>147.82439999999997</v>
      </c>
    </row>
    <row r="97" spans="1:29" x14ac:dyDescent="0.35">
      <c r="A97" t="s">
        <v>298</v>
      </c>
      <c r="B97" t="s">
        <v>268</v>
      </c>
      <c r="C97" t="s">
        <v>179</v>
      </c>
      <c r="D97" t="s">
        <v>41</v>
      </c>
      <c r="E97" s="1">
        <v>45026</v>
      </c>
      <c r="F97" s="24">
        <f t="shared" si="10"/>
        <v>2023</v>
      </c>
      <c r="G97" s="24" t="str">
        <f t="shared" si="11"/>
        <v>April</v>
      </c>
      <c r="H97" s="24" t="str">
        <f t="shared" si="12"/>
        <v>Monday</v>
      </c>
      <c r="I97" s="22">
        <v>0.52196759259259262</v>
      </c>
      <c r="J97" s="24">
        <f t="shared" si="13"/>
        <v>12</v>
      </c>
      <c r="K97" s="24">
        <f t="shared" si="14"/>
        <v>31</v>
      </c>
      <c r="L97" s="24">
        <f t="shared" si="15"/>
        <v>38</v>
      </c>
      <c r="M97" t="s">
        <v>78</v>
      </c>
      <c r="N97" t="s">
        <v>79</v>
      </c>
      <c r="O97" s="24">
        <v>1</v>
      </c>
      <c r="P97" s="11">
        <v>152.32</v>
      </c>
      <c r="Q97" s="26">
        <f>VLOOKUP('Prepared Sales Dataset'!M97,'Product-cost'!A:B,2,FALSE)</f>
        <v>50</v>
      </c>
      <c r="R97" t="s">
        <v>28</v>
      </c>
      <c r="S97" t="s">
        <v>43</v>
      </c>
      <c r="U97" t="s">
        <v>923</v>
      </c>
      <c r="V97" s="17">
        <f>P97*O97</f>
        <v>152.32</v>
      </c>
      <c r="W97" s="19">
        <f>O97*Q97</f>
        <v>50</v>
      </c>
      <c r="X97" s="13">
        <f>VLOOKUP(R97,Taxrate!A:B,2,FALSE)</f>
        <v>0.1</v>
      </c>
      <c r="Y97" s="15">
        <f t="shared" si="16"/>
        <v>15.231999999999999</v>
      </c>
      <c r="Z97" s="9">
        <f>VLOOKUP(M97,'Discount Rate'!A:B,2,FALSE)</f>
        <v>0.03</v>
      </c>
      <c r="AA97" s="11">
        <f t="shared" si="17"/>
        <v>4.5695999999999994</v>
      </c>
      <c r="AB97" s="15">
        <f t="shared" si="18"/>
        <v>132.51839999999999</v>
      </c>
      <c r="AC97" s="15">
        <f t="shared" si="19"/>
        <v>82.518399999999986</v>
      </c>
    </row>
    <row r="98" spans="1:29" x14ac:dyDescent="0.35">
      <c r="A98" t="s">
        <v>299</v>
      </c>
      <c r="B98" t="s">
        <v>300</v>
      </c>
      <c r="C98" t="s">
        <v>70</v>
      </c>
      <c r="D98" t="s">
        <v>71</v>
      </c>
      <c r="E98" s="1">
        <v>45959</v>
      </c>
      <c r="F98" s="24">
        <f t="shared" si="10"/>
        <v>2025</v>
      </c>
      <c r="G98" s="24" t="str">
        <f t="shared" si="11"/>
        <v>October</v>
      </c>
      <c r="H98" s="24" t="str">
        <f t="shared" si="12"/>
        <v>Wednesday</v>
      </c>
      <c r="I98" s="22">
        <v>0.85783564814814817</v>
      </c>
      <c r="J98" s="24">
        <f t="shared" si="13"/>
        <v>20</v>
      </c>
      <c r="K98" s="24">
        <f t="shared" si="14"/>
        <v>35</v>
      </c>
      <c r="L98" s="24">
        <f t="shared" si="15"/>
        <v>17</v>
      </c>
      <c r="M98" t="s">
        <v>49</v>
      </c>
      <c r="N98" t="s">
        <v>50</v>
      </c>
      <c r="O98" s="24">
        <v>2</v>
      </c>
      <c r="P98" s="11">
        <v>186.63</v>
      </c>
      <c r="Q98" s="26">
        <f>VLOOKUP('Prepared Sales Dataset'!M98,'Product-cost'!A:B,2,FALSE)</f>
        <v>150</v>
      </c>
      <c r="R98" t="s">
        <v>28</v>
      </c>
      <c r="S98" t="s">
        <v>73</v>
      </c>
      <c r="T98" t="s">
        <v>109</v>
      </c>
      <c r="U98" t="s">
        <v>923</v>
      </c>
      <c r="V98" s="17">
        <f>P98*O98</f>
        <v>373.26</v>
      </c>
      <c r="W98" s="19">
        <f>O98*Q98</f>
        <v>300</v>
      </c>
      <c r="X98" s="13">
        <f>VLOOKUP(R98,Taxrate!A:B,2,FALSE)</f>
        <v>0.1</v>
      </c>
      <c r="Y98" s="15">
        <f t="shared" si="16"/>
        <v>37.326000000000001</v>
      </c>
      <c r="Z98" s="9">
        <f>VLOOKUP(M98,'Discount Rate'!A:B,2,FALSE)</f>
        <v>7.0000000000000007E-2</v>
      </c>
      <c r="AA98" s="11">
        <f t="shared" si="17"/>
        <v>26.128200000000003</v>
      </c>
      <c r="AB98" s="15">
        <f t="shared" si="18"/>
        <v>309.80579999999998</v>
      </c>
      <c r="AC98" s="15">
        <f t="shared" si="19"/>
        <v>9.8057999999999765</v>
      </c>
    </row>
    <row r="99" spans="1:29" x14ac:dyDescent="0.35">
      <c r="A99" t="s">
        <v>301</v>
      </c>
      <c r="B99" t="s">
        <v>302</v>
      </c>
      <c r="C99" t="s">
        <v>47</v>
      </c>
      <c r="D99" t="s">
        <v>48</v>
      </c>
      <c r="E99" s="1">
        <v>45609</v>
      </c>
      <c r="F99" s="24">
        <f t="shared" si="10"/>
        <v>2024</v>
      </c>
      <c r="G99" s="24" t="str">
        <f t="shared" si="11"/>
        <v>November</v>
      </c>
      <c r="H99" s="24" t="str">
        <f t="shared" si="12"/>
        <v>Wednesday</v>
      </c>
      <c r="I99" s="22">
        <v>0.68690972222222224</v>
      </c>
      <c r="J99" s="24">
        <f t="shared" si="13"/>
        <v>16</v>
      </c>
      <c r="K99" s="24">
        <f t="shared" si="14"/>
        <v>29</v>
      </c>
      <c r="L99" s="24">
        <f t="shared" si="15"/>
        <v>9</v>
      </c>
      <c r="M99" t="s">
        <v>49</v>
      </c>
      <c r="N99" t="s">
        <v>50</v>
      </c>
      <c r="O99" s="24">
        <v>3</v>
      </c>
      <c r="P99" s="11">
        <v>243.44</v>
      </c>
      <c r="Q99" s="26">
        <f>VLOOKUP('Prepared Sales Dataset'!M99,'Product-cost'!A:B,2,FALSE)</f>
        <v>150</v>
      </c>
      <c r="R99" t="s">
        <v>35</v>
      </c>
      <c r="S99" t="s">
        <v>85</v>
      </c>
      <c r="T99" t="s">
        <v>133</v>
      </c>
      <c r="U99" t="s">
        <v>921</v>
      </c>
      <c r="V99" s="17">
        <f>P99*O99</f>
        <v>730.31999999999994</v>
      </c>
      <c r="W99" s="19">
        <f>O99*Q99</f>
        <v>450</v>
      </c>
      <c r="X99" s="13">
        <f>VLOOKUP(R99,Taxrate!A:B,2,FALSE)</f>
        <v>0.2</v>
      </c>
      <c r="Y99" s="15">
        <f t="shared" si="16"/>
        <v>146.06399999999999</v>
      </c>
      <c r="Z99" s="9">
        <f>VLOOKUP(M99,'Discount Rate'!A:B,2,FALSE)</f>
        <v>7.0000000000000007E-2</v>
      </c>
      <c r="AA99" s="11">
        <f t="shared" si="17"/>
        <v>51.122399999999999</v>
      </c>
      <c r="AB99" s="15">
        <f t="shared" si="18"/>
        <v>533.13359999999989</v>
      </c>
      <c r="AC99" s="15">
        <f t="shared" si="19"/>
        <v>83.133599999999888</v>
      </c>
    </row>
    <row r="100" spans="1:29" x14ac:dyDescent="0.35">
      <c r="A100" t="s">
        <v>303</v>
      </c>
      <c r="B100" t="s">
        <v>304</v>
      </c>
      <c r="C100" t="s">
        <v>128</v>
      </c>
      <c r="D100" t="s">
        <v>63</v>
      </c>
      <c r="E100" s="1">
        <v>44961</v>
      </c>
      <c r="F100" s="24">
        <f t="shared" si="10"/>
        <v>2023</v>
      </c>
      <c r="G100" s="24" t="str">
        <f t="shared" si="11"/>
        <v>February</v>
      </c>
      <c r="H100" s="24" t="str">
        <f t="shared" si="12"/>
        <v>Saturday</v>
      </c>
      <c r="I100" s="22">
        <v>0.57160879629629635</v>
      </c>
      <c r="J100" s="24">
        <f t="shared" si="13"/>
        <v>13</v>
      </c>
      <c r="K100" s="24">
        <f t="shared" si="14"/>
        <v>43</v>
      </c>
      <c r="L100" s="24">
        <f t="shared" si="15"/>
        <v>7</v>
      </c>
      <c r="M100" t="s">
        <v>78</v>
      </c>
      <c r="N100" t="s">
        <v>79</v>
      </c>
      <c r="O100" s="24">
        <v>13</v>
      </c>
      <c r="P100" s="11">
        <v>185.41</v>
      </c>
      <c r="Q100" s="26">
        <f>VLOOKUP('Prepared Sales Dataset'!M100,'Product-cost'!A:B,2,FALSE)</f>
        <v>50</v>
      </c>
      <c r="R100" t="s">
        <v>55</v>
      </c>
      <c r="S100" t="s">
        <v>64</v>
      </c>
      <c r="T100" t="s">
        <v>44</v>
      </c>
      <c r="U100" t="s">
        <v>921</v>
      </c>
      <c r="V100" s="17">
        <f>P100*O100</f>
        <v>2410.33</v>
      </c>
      <c r="W100" s="19">
        <f>O100*Q100</f>
        <v>650</v>
      </c>
      <c r="X100" s="13">
        <f>VLOOKUP(R100,Taxrate!A:B,2,FALSE)</f>
        <v>7.0000000000000007E-2</v>
      </c>
      <c r="Y100" s="15">
        <f t="shared" si="16"/>
        <v>168.72310000000002</v>
      </c>
      <c r="Z100" s="9">
        <f>VLOOKUP(M100,'Discount Rate'!A:B,2,FALSE)</f>
        <v>0.03</v>
      </c>
      <c r="AA100" s="11">
        <f t="shared" si="17"/>
        <v>72.309899999999999</v>
      </c>
      <c r="AB100" s="15">
        <f t="shared" si="18"/>
        <v>2169.297</v>
      </c>
      <c r="AC100" s="15">
        <f t="shared" si="19"/>
        <v>1519.297</v>
      </c>
    </row>
    <row r="101" spans="1:29" x14ac:dyDescent="0.35">
      <c r="A101" t="s">
        <v>305</v>
      </c>
      <c r="B101" t="s">
        <v>306</v>
      </c>
      <c r="C101" t="s">
        <v>98</v>
      </c>
      <c r="D101" t="s">
        <v>99</v>
      </c>
      <c r="E101" s="1">
        <v>45229</v>
      </c>
      <c r="F101" s="24">
        <f t="shared" si="10"/>
        <v>2023</v>
      </c>
      <c r="G101" s="24" t="str">
        <f t="shared" si="11"/>
        <v>October</v>
      </c>
      <c r="H101" s="24" t="str">
        <f t="shared" si="12"/>
        <v>Monday</v>
      </c>
      <c r="I101" s="22">
        <v>0.3588425925925926</v>
      </c>
      <c r="J101" s="24">
        <f t="shared" si="13"/>
        <v>8</v>
      </c>
      <c r="K101" s="24">
        <f t="shared" si="14"/>
        <v>36</v>
      </c>
      <c r="L101" s="24">
        <f t="shared" si="15"/>
        <v>44</v>
      </c>
      <c r="M101" t="s">
        <v>17</v>
      </c>
      <c r="N101" t="s">
        <v>18</v>
      </c>
      <c r="O101" s="24">
        <v>8</v>
      </c>
      <c r="P101" s="11">
        <v>875.72</v>
      </c>
      <c r="Q101" s="26">
        <f>VLOOKUP('Prepared Sales Dataset'!M101,'Product-cost'!A:B,2,FALSE)</f>
        <v>600</v>
      </c>
      <c r="R101" t="s">
        <v>35</v>
      </c>
      <c r="S101" t="s">
        <v>122</v>
      </c>
      <c r="T101" t="s">
        <v>166</v>
      </c>
      <c r="U101" t="s">
        <v>921</v>
      </c>
      <c r="V101" s="17">
        <f>P101*O101</f>
        <v>7005.76</v>
      </c>
      <c r="W101" s="19">
        <f>O101*Q101</f>
        <v>4800</v>
      </c>
      <c r="X101" s="13">
        <f>VLOOKUP(R101,Taxrate!A:B,2,FALSE)</f>
        <v>0.2</v>
      </c>
      <c r="Y101" s="15">
        <f t="shared" si="16"/>
        <v>1401.152</v>
      </c>
      <c r="Z101" s="9">
        <f>VLOOKUP(M101,'Discount Rate'!A:B,2,FALSE)</f>
        <v>0.05</v>
      </c>
      <c r="AA101" s="11">
        <f t="shared" si="17"/>
        <v>350.28800000000001</v>
      </c>
      <c r="AB101" s="15">
        <f t="shared" si="18"/>
        <v>5254.32</v>
      </c>
      <c r="AC101" s="15">
        <f t="shared" si="19"/>
        <v>454.31999999999971</v>
      </c>
    </row>
    <row r="102" spans="1:29" x14ac:dyDescent="0.35">
      <c r="A102" t="s">
        <v>307</v>
      </c>
      <c r="B102" t="s">
        <v>308</v>
      </c>
      <c r="C102" t="s">
        <v>77</v>
      </c>
      <c r="D102" t="s">
        <v>63</v>
      </c>
      <c r="E102" s="1">
        <v>45569</v>
      </c>
      <c r="F102" s="24">
        <f t="shared" si="10"/>
        <v>2024</v>
      </c>
      <c r="G102" s="24" t="str">
        <f t="shared" si="11"/>
        <v>October</v>
      </c>
      <c r="H102" s="24" t="str">
        <f t="shared" si="12"/>
        <v>Friday</v>
      </c>
      <c r="I102" s="22">
        <v>0.66567129629629629</v>
      </c>
      <c r="J102" s="24">
        <f t="shared" si="13"/>
        <v>15</v>
      </c>
      <c r="K102" s="24">
        <f t="shared" si="14"/>
        <v>58</v>
      </c>
      <c r="L102" s="24">
        <f t="shared" si="15"/>
        <v>34</v>
      </c>
      <c r="M102" t="s">
        <v>33</v>
      </c>
      <c r="N102" t="s">
        <v>34</v>
      </c>
      <c r="O102" s="24">
        <v>11</v>
      </c>
      <c r="P102" s="11">
        <v>464.18</v>
      </c>
      <c r="Q102" s="26">
        <f>VLOOKUP('Prepared Sales Dataset'!M102,'Product-cost'!A:B,2,FALSE)</f>
        <v>200</v>
      </c>
      <c r="R102" t="s">
        <v>28</v>
      </c>
      <c r="S102" t="s">
        <v>241</v>
      </c>
      <c r="U102" t="s">
        <v>923</v>
      </c>
      <c r="V102" s="17">
        <f>P102*O102</f>
        <v>5105.9800000000005</v>
      </c>
      <c r="W102" s="19">
        <f>O102*Q102</f>
        <v>2200</v>
      </c>
      <c r="X102" s="13">
        <f>VLOOKUP(R102,Taxrate!A:B,2,FALSE)</f>
        <v>0.1</v>
      </c>
      <c r="Y102" s="15">
        <f t="shared" si="16"/>
        <v>510.59800000000007</v>
      </c>
      <c r="Z102" s="9">
        <f>VLOOKUP(M102,'Discount Rate'!A:B,2,FALSE)</f>
        <v>0.08</v>
      </c>
      <c r="AA102" s="11">
        <f t="shared" si="17"/>
        <v>408.47840000000002</v>
      </c>
      <c r="AB102" s="15">
        <f t="shared" si="18"/>
        <v>4186.9036000000006</v>
      </c>
      <c r="AC102" s="15">
        <f t="shared" si="19"/>
        <v>1986.9036000000006</v>
      </c>
    </row>
    <row r="103" spans="1:29" x14ac:dyDescent="0.35">
      <c r="A103" t="s">
        <v>309</v>
      </c>
      <c r="B103" t="s">
        <v>300</v>
      </c>
      <c r="C103" t="s">
        <v>195</v>
      </c>
      <c r="D103" t="s">
        <v>63</v>
      </c>
      <c r="E103" s="1">
        <v>45576</v>
      </c>
      <c r="F103" s="24">
        <f t="shared" si="10"/>
        <v>2024</v>
      </c>
      <c r="G103" s="24" t="str">
        <f t="shared" si="11"/>
        <v>October</v>
      </c>
      <c r="H103" s="24" t="str">
        <f t="shared" si="12"/>
        <v>Friday</v>
      </c>
      <c r="I103" s="22">
        <v>0.56665509259259261</v>
      </c>
      <c r="J103" s="24">
        <f t="shared" si="13"/>
        <v>13</v>
      </c>
      <c r="K103" s="24">
        <f t="shared" si="14"/>
        <v>35</v>
      </c>
      <c r="L103" s="24">
        <f t="shared" si="15"/>
        <v>59</v>
      </c>
      <c r="M103" t="s">
        <v>33</v>
      </c>
      <c r="N103" t="s">
        <v>34</v>
      </c>
      <c r="O103" s="24">
        <v>10</v>
      </c>
      <c r="P103" s="11">
        <v>395.94</v>
      </c>
      <c r="Q103" s="26">
        <f>VLOOKUP('Prepared Sales Dataset'!M103,'Product-cost'!A:B,2,FALSE)</f>
        <v>200</v>
      </c>
      <c r="R103" t="s">
        <v>42</v>
      </c>
      <c r="S103" t="s">
        <v>241</v>
      </c>
      <c r="U103" t="s">
        <v>923</v>
      </c>
      <c r="V103" s="17">
        <f>P103*O103</f>
        <v>3959.4</v>
      </c>
      <c r="W103" s="19">
        <f>O103*Q103</f>
        <v>2000</v>
      </c>
      <c r="X103" s="13">
        <f>VLOOKUP(R103,Taxrate!A:B,2,FALSE)</f>
        <v>0.15</v>
      </c>
      <c r="Y103" s="15">
        <f t="shared" si="16"/>
        <v>593.91</v>
      </c>
      <c r="Z103" s="9">
        <f>VLOOKUP(M103,'Discount Rate'!A:B,2,FALSE)</f>
        <v>0.08</v>
      </c>
      <c r="AA103" s="11">
        <f t="shared" si="17"/>
        <v>316.75200000000001</v>
      </c>
      <c r="AB103" s="15">
        <f t="shared" si="18"/>
        <v>3048.7380000000003</v>
      </c>
      <c r="AC103" s="15">
        <f t="shared" si="19"/>
        <v>1048.7380000000003</v>
      </c>
    </row>
    <row r="104" spans="1:29" x14ac:dyDescent="0.35">
      <c r="A104" t="s">
        <v>310</v>
      </c>
      <c r="B104" t="s">
        <v>311</v>
      </c>
      <c r="C104" t="s">
        <v>205</v>
      </c>
      <c r="D104" t="s">
        <v>170</v>
      </c>
      <c r="E104" s="1">
        <v>45365</v>
      </c>
      <c r="F104" s="24">
        <f t="shared" si="10"/>
        <v>2024</v>
      </c>
      <c r="G104" s="24" t="str">
        <f t="shared" si="11"/>
        <v>March</v>
      </c>
      <c r="H104" s="24" t="str">
        <f t="shared" si="12"/>
        <v>Thursday</v>
      </c>
      <c r="I104" s="22">
        <v>0.89880787037037035</v>
      </c>
      <c r="J104" s="24">
        <f t="shared" si="13"/>
        <v>21</v>
      </c>
      <c r="K104" s="24">
        <f t="shared" si="14"/>
        <v>34</v>
      </c>
      <c r="L104" s="24">
        <f t="shared" si="15"/>
        <v>17</v>
      </c>
      <c r="M104" t="s">
        <v>49</v>
      </c>
      <c r="N104" t="s">
        <v>50</v>
      </c>
      <c r="O104" s="24">
        <v>3</v>
      </c>
      <c r="P104" s="11">
        <v>506</v>
      </c>
      <c r="Q104" s="26">
        <f>VLOOKUP('Prepared Sales Dataset'!M104,'Product-cost'!A:B,2,FALSE)</f>
        <v>150</v>
      </c>
      <c r="R104" t="s">
        <v>59</v>
      </c>
      <c r="S104" t="s">
        <v>171</v>
      </c>
      <c r="T104" t="s">
        <v>44</v>
      </c>
      <c r="U104" t="s">
        <v>921</v>
      </c>
      <c r="V104" s="17">
        <f>P104*O104</f>
        <v>1518</v>
      </c>
      <c r="W104" s="19">
        <f>O104*Q104</f>
        <v>450</v>
      </c>
      <c r="X104" s="13">
        <f>VLOOKUP(R104,Taxrate!A:B,2,FALSE)</f>
        <v>0.12</v>
      </c>
      <c r="Y104" s="15">
        <f t="shared" si="16"/>
        <v>182.16</v>
      </c>
      <c r="Z104" s="9">
        <f>VLOOKUP(M104,'Discount Rate'!A:B,2,FALSE)</f>
        <v>7.0000000000000007E-2</v>
      </c>
      <c r="AA104" s="11">
        <f t="shared" si="17"/>
        <v>106.26</v>
      </c>
      <c r="AB104" s="15">
        <f t="shared" si="18"/>
        <v>1229.58</v>
      </c>
      <c r="AC104" s="15">
        <f t="shared" si="19"/>
        <v>779.57999999999993</v>
      </c>
    </row>
    <row r="105" spans="1:29" x14ac:dyDescent="0.35">
      <c r="A105" t="s">
        <v>312</v>
      </c>
      <c r="B105" t="s">
        <v>313</v>
      </c>
      <c r="C105" t="s">
        <v>77</v>
      </c>
      <c r="D105" t="s">
        <v>63</v>
      </c>
      <c r="E105" s="1">
        <v>46322</v>
      </c>
      <c r="F105" s="24">
        <f t="shared" si="10"/>
        <v>2026</v>
      </c>
      <c r="G105" s="24" t="str">
        <f t="shared" si="11"/>
        <v>October</v>
      </c>
      <c r="H105" s="24" t="str">
        <f t="shared" si="12"/>
        <v>Tuesday</v>
      </c>
      <c r="I105" s="22">
        <v>0.35832175925925924</v>
      </c>
      <c r="J105" s="24">
        <f t="shared" si="13"/>
        <v>8</v>
      </c>
      <c r="K105" s="24">
        <f t="shared" si="14"/>
        <v>35</v>
      </c>
      <c r="L105" s="24">
        <f t="shared" si="15"/>
        <v>59</v>
      </c>
      <c r="M105" t="s">
        <v>26</v>
      </c>
      <c r="N105" t="s">
        <v>27</v>
      </c>
      <c r="O105" s="24">
        <v>15</v>
      </c>
      <c r="P105" s="11">
        <v>622.71</v>
      </c>
      <c r="Q105" s="26">
        <f>VLOOKUP('Prepared Sales Dataset'!M105,'Product-cost'!A:B,2,FALSE)</f>
        <v>300</v>
      </c>
      <c r="R105" t="s">
        <v>35</v>
      </c>
      <c r="S105" t="s">
        <v>80</v>
      </c>
      <c r="T105" t="s">
        <v>166</v>
      </c>
      <c r="U105" t="s">
        <v>921</v>
      </c>
      <c r="V105" s="17">
        <f>P105*O105</f>
        <v>9340.6500000000015</v>
      </c>
      <c r="W105" s="19">
        <f>O105*Q105</f>
        <v>4500</v>
      </c>
      <c r="X105" s="13">
        <f>VLOOKUP(R105,Taxrate!A:B,2,FALSE)</f>
        <v>0.2</v>
      </c>
      <c r="Y105" s="15">
        <f t="shared" si="16"/>
        <v>1868.1300000000003</v>
      </c>
      <c r="Z105" s="9">
        <f>VLOOKUP(M105,'Discount Rate'!A:B,2,FALSE)</f>
        <v>0.1</v>
      </c>
      <c r="AA105" s="11">
        <f t="shared" si="17"/>
        <v>934.06500000000017</v>
      </c>
      <c r="AB105" s="15">
        <f t="shared" si="18"/>
        <v>6538.4550000000008</v>
      </c>
      <c r="AC105" s="15">
        <f t="shared" si="19"/>
        <v>2038.4550000000008</v>
      </c>
    </row>
    <row r="106" spans="1:29" x14ac:dyDescent="0.35">
      <c r="A106" t="s">
        <v>314</v>
      </c>
      <c r="B106" t="s">
        <v>315</v>
      </c>
      <c r="C106" t="s">
        <v>47</v>
      </c>
      <c r="D106" t="s">
        <v>48</v>
      </c>
      <c r="E106" s="1">
        <v>45782</v>
      </c>
      <c r="F106" s="24">
        <f t="shared" si="10"/>
        <v>2025</v>
      </c>
      <c r="G106" s="24" t="str">
        <f t="shared" si="11"/>
        <v>May</v>
      </c>
      <c r="H106" s="24" t="str">
        <f t="shared" si="12"/>
        <v>Monday</v>
      </c>
      <c r="I106" s="22">
        <v>0.37042824074074077</v>
      </c>
      <c r="J106" s="24">
        <f t="shared" si="13"/>
        <v>8</v>
      </c>
      <c r="K106" s="24">
        <f t="shared" si="14"/>
        <v>53</v>
      </c>
      <c r="L106" s="24">
        <f t="shared" si="15"/>
        <v>25</v>
      </c>
      <c r="M106" t="s">
        <v>78</v>
      </c>
      <c r="N106" t="s">
        <v>79</v>
      </c>
      <c r="O106" s="24">
        <v>12</v>
      </c>
      <c r="P106" s="11">
        <v>189.45</v>
      </c>
      <c r="Q106" s="26">
        <f>VLOOKUP('Prepared Sales Dataset'!M106,'Product-cost'!A:B,2,FALSE)</f>
        <v>50</v>
      </c>
      <c r="R106" t="s">
        <v>55</v>
      </c>
      <c r="S106" t="s">
        <v>85</v>
      </c>
      <c r="T106" t="s">
        <v>133</v>
      </c>
      <c r="U106" t="s">
        <v>921</v>
      </c>
      <c r="V106" s="17">
        <f>P106*O106</f>
        <v>2273.3999999999996</v>
      </c>
      <c r="W106" s="19">
        <f>O106*Q106</f>
        <v>600</v>
      </c>
      <c r="X106" s="13">
        <f>VLOOKUP(R106,Taxrate!A:B,2,FALSE)</f>
        <v>7.0000000000000007E-2</v>
      </c>
      <c r="Y106" s="15">
        <f t="shared" si="16"/>
        <v>159.13799999999998</v>
      </c>
      <c r="Z106" s="9">
        <f>VLOOKUP(M106,'Discount Rate'!A:B,2,FALSE)</f>
        <v>0.03</v>
      </c>
      <c r="AA106" s="11">
        <f t="shared" si="17"/>
        <v>68.201999999999984</v>
      </c>
      <c r="AB106" s="15">
        <f t="shared" si="18"/>
        <v>2046.0599999999997</v>
      </c>
      <c r="AC106" s="15">
        <f t="shared" si="19"/>
        <v>1446.0599999999997</v>
      </c>
    </row>
    <row r="107" spans="1:29" x14ac:dyDescent="0.35">
      <c r="A107" t="s">
        <v>316</v>
      </c>
      <c r="B107" t="s">
        <v>317</v>
      </c>
      <c r="C107" t="s">
        <v>139</v>
      </c>
      <c r="D107" t="s">
        <v>25</v>
      </c>
      <c r="E107" s="1">
        <v>45885</v>
      </c>
      <c r="F107" s="24">
        <f t="shared" si="10"/>
        <v>2025</v>
      </c>
      <c r="G107" s="24" t="str">
        <f t="shared" si="11"/>
        <v>August</v>
      </c>
      <c r="H107" s="24" t="str">
        <f t="shared" si="12"/>
        <v>Saturday</v>
      </c>
      <c r="I107" s="22">
        <v>0.49383101851851852</v>
      </c>
      <c r="J107" s="24">
        <f t="shared" si="13"/>
        <v>11</v>
      </c>
      <c r="K107" s="24">
        <f t="shared" si="14"/>
        <v>51</v>
      </c>
      <c r="L107" s="24">
        <f t="shared" si="15"/>
        <v>7</v>
      </c>
      <c r="M107" t="s">
        <v>33</v>
      </c>
      <c r="N107" t="s">
        <v>34</v>
      </c>
      <c r="O107" s="24">
        <v>8</v>
      </c>
      <c r="P107" s="11">
        <v>463.72</v>
      </c>
      <c r="Q107" s="26">
        <f>VLOOKUP('Prepared Sales Dataset'!M107,'Product-cost'!A:B,2,FALSE)</f>
        <v>200</v>
      </c>
      <c r="R107" t="s">
        <v>55</v>
      </c>
      <c r="S107" t="s">
        <v>29</v>
      </c>
      <c r="T107" t="s">
        <v>74</v>
      </c>
      <c r="U107" t="s">
        <v>922</v>
      </c>
      <c r="V107" s="17">
        <f>P107*O107</f>
        <v>3709.76</v>
      </c>
      <c r="W107" s="19">
        <f>O107*Q107</f>
        <v>1600</v>
      </c>
      <c r="X107" s="13">
        <f>VLOOKUP(R107,Taxrate!A:B,2,FALSE)</f>
        <v>7.0000000000000007E-2</v>
      </c>
      <c r="Y107" s="15">
        <f t="shared" si="16"/>
        <v>259.68320000000006</v>
      </c>
      <c r="Z107" s="9">
        <f>VLOOKUP(M107,'Discount Rate'!A:B,2,FALSE)</f>
        <v>0.08</v>
      </c>
      <c r="AA107" s="11">
        <f t="shared" si="17"/>
        <v>296.7808</v>
      </c>
      <c r="AB107" s="15">
        <f t="shared" si="18"/>
        <v>3153.2960000000003</v>
      </c>
      <c r="AC107" s="15">
        <f t="shared" si="19"/>
        <v>1553.2960000000003</v>
      </c>
    </row>
    <row r="108" spans="1:29" x14ac:dyDescent="0.35">
      <c r="A108" t="s">
        <v>318</v>
      </c>
      <c r="B108" t="s">
        <v>319</v>
      </c>
      <c r="C108" t="s">
        <v>106</v>
      </c>
      <c r="D108" t="s">
        <v>107</v>
      </c>
      <c r="E108" s="1">
        <v>45104</v>
      </c>
      <c r="F108" s="24">
        <f t="shared" si="10"/>
        <v>2023</v>
      </c>
      <c r="G108" s="24" t="str">
        <f t="shared" si="11"/>
        <v>June</v>
      </c>
      <c r="H108" s="24" t="str">
        <f t="shared" si="12"/>
        <v>Tuesday</v>
      </c>
      <c r="I108" s="22">
        <v>0.75429398148148152</v>
      </c>
      <c r="J108" s="24">
        <f t="shared" si="13"/>
        <v>18</v>
      </c>
      <c r="K108" s="24">
        <f t="shared" si="14"/>
        <v>6</v>
      </c>
      <c r="L108" s="24">
        <f t="shared" si="15"/>
        <v>11</v>
      </c>
      <c r="M108" t="s">
        <v>26</v>
      </c>
      <c r="N108" t="s">
        <v>27</v>
      </c>
      <c r="O108" s="24">
        <v>15</v>
      </c>
      <c r="P108" s="11">
        <v>558.24</v>
      </c>
      <c r="Q108" s="26">
        <f>VLOOKUP('Prepared Sales Dataset'!M108,'Product-cost'!A:B,2,FALSE)</f>
        <v>300</v>
      </c>
      <c r="R108" t="s">
        <v>35</v>
      </c>
      <c r="S108" t="s">
        <v>108</v>
      </c>
      <c r="T108" t="s">
        <v>21</v>
      </c>
      <c r="U108" t="s">
        <v>921</v>
      </c>
      <c r="V108" s="17">
        <f>P108*O108</f>
        <v>8373.6</v>
      </c>
      <c r="W108" s="19">
        <f>O108*Q108</f>
        <v>4500</v>
      </c>
      <c r="X108" s="13">
        <f>VLOOKUP(R108,Taxrate!A:B,2,FALSE)</f>
        <v>0.2</v>
      </c>
      <c r="Y108" s="15">
        <f t="shared" si="16"/>
        <v>1674.7200000000003</v>
      </c>
      <c r="Z108" s="9">
        <f>VLOOKUP(M108,'Discount Rate'!A:B,2,FALSE)</f>
        <v>0.1</v>
      </c>
      <c r="AA108" s="11">
        <f t="shared" si="17"/>
        <v>837.36000000000013</v>
      </c>
      <c r="AB108" s="15">
        <f t="shared" si="18"/>
        <v>5861.52</v>
      </c>
      <c r="AC108" s="15">
        <f t="shared" si="19"/>
        <v>1361.5200000000004</v>
      </c>
    </row>
    <row r="109" spans="1:29" x14ac:dyDescent="0.35">
      <c r="A109" t="s">
        <v>320</v>
      </c>
      <c r="B109" t="s">
        <v>321</v>
      </c>
      <c r="C109" t="s">
        <v>15</v>
      </c>
      <c r="D109" t="s">
        <v>16</v>
      </c>
      <c r="E109" s="1">
        <v>45555</v>
      </c>
      <c r="F109" s="24">
        <f t="shared" si="10"/>
        <v>2024</v>
      </c>
      <c r="G109" s="24" t="str">
        <f t="shared" si="11"/>
        <v>September</v>
      </c>
      <c r="H109" s="24" t="str">
        <f t="shared" si="12"/>
        <v>Friday</v>
      </c>
      <c r="I109" s="22">
        <v>0.61356481481481484</v>
      </c>
      <c r="J109" s="24">
        <f t="shared" si="13"/>
        <v>14</v>
      </c>
      <c r="K109" s="24">
        <f t="shared" si="14"/>
        <v>43</v>
      </c>
      <c r="L109" s="24">
        <f t="shared" si="15"/>
        <v>32</v>
      </c>
      <c r="M109" t="s">
        <v>33</v>
      </c>
      <c r="N109" t="s">
        <v>34</v>
      </c>
      <c r="O109" s="24">
        <v>11</v>
      </c>
      <c r="P109" s="11">
        <v>379.01</v>
      </c>
      <c r="Q109" s="26">
        <f>VLOOKUP('Prepared Sales Dataset'!M109,'Product-cost'!A:B,2,FALSE)</f>
        <v>200</v>
      </c>
      <c r="R109" t="s">
        <v>59</v>
      </c>
      <c r="S109" t="s">
        <v>36</v>
      </c>
      <c r="T109" t="s">
        <v>95</v>
      </c>
      <c r="U109" t="s">
        <v>921</v>
      </c>
      <c r="V109" s="17">
        <f>P109*O109</f>
        <v>4169.1099999999997</v>
      </c>
      <c r="W109" s="19">
        <f>O109*Q109</f>
        <v>2200</v>
      </c>
      <c r="X109" s="13">
        <f>VLOOKUP(R109,Taxrate!A:B,2,FALSE)</f>
        <v>0.12</v>
      </c>
      <c r="Y109" s="15">
        <f t="shared" si="16"/>
        <v>500.29319999999996</v>
      </c>
      <c r="Z109" s="9">
        <f>VLOOKUP(M109,'Discount Rate'!A:B,2,FALSE)</f>
        <v>0.08</v>
      </c>
      <c r="AA109" s="11">
        <f t="shared" si="17"/>
        <v>333.52879999999999</v>
      </c>
      <c r="AB109" s="15">
        <f t="shared" si="18"/>
        <v>3335.2879999999996</v>
      </c>
      <c r="AC109" s="15">
        <f t="shared" si="19"/>
        <v>1135.2879999999996</v>
      </c>
    </row>
    <row r="110" spans="1:29" x14ac:dyDescent="0.35">
      <c r="A110" t="s">
        <v>322</v>
      </c>
      <c r="B110" t="s">
        <v>323</v>
      </c>
      <c r="C110" t="s">
        <v>77</v>
      </c>
      <c r="D110" t="s">
        <v>63</v>
      </c>
      <c r="E110" s="1">
        <v>45433</v>
      </c>
      <c r="F110" s="24">
        <f t="shared" si="10"/>
        <v>2024</v>
      </c>
      <c r="G110" s="24" t="str">
        <f t="shared" si="11"/>
        <v>May</v>
      </c>
      <c r="H110" s="24" t="str">
        <f t="shared" si="12"/>
        <v>Tuesday</v>
      </c>
      <c r="I110" s="22">
        <v>0.68649305555555551</v>
      </c>
      <c r="J110" s="24">
        <f t="shared" si="13"/>
        <v>16</v>
      </c>
      <c r="K110" s="24">
        <f t="shared" si="14"/>
        <v>28</v>
      </c>
      <c r="L110" s="24">
        <f t="shared" si="15"/>
        <v>33</v>
      </c>
      <c r="M110" t="s">
        <v>33</v>
      </c>
      <c r="N110" t="s">
        <v>34</v>
      </c>
      <c r="O110" s="24">
        <v>8</v>
      </c>
      <c r="P110" s="11">
        <v>332.35</v>
      </c>
      <c r="Q110" s="26">
        <f>VLOOKUP('Prepared Sales Dataset'!M110,'Product-cost'!A:B,2,FALSE)</f>
        <v>200</v>
      </c>
      <c r="R110" t="s">
        <v>59</v>
      </c>
      <c r="S110" t="s">
        <v>80</v>
      </c>
      <c r="T110" t="s">
        <v>125</v>
      </c>
      <c r="U110" t="s">
        <v>921</v>
      </c>
      <c r="V110" s="17">
        <f>P110*O110</f>
        <v>2658.8</v>
      </c>
      <c r="W110" s="19">
        <f>O110*Q110</f>
        <v>1600</v>
      </c>
      <c r="X110" s="13">
        <f>VLOOKUP(R110,Taxrate!A:B,2,FALSE)</f>
        <v>0.12</v>
      </c>
      <c r="Y110" s="15">
        <f t="shared" si="16"/>
        <v>319.05599999999998</v>
      </c>
      <c r="Z110" s="9">
        <f>VLOOKUP(M110,'Discount Rate'!A:B,2,FALSE)</f>
        <v>0.08</v>
      </c>
      <c r="AA110" s="11">
        <f t="shared" si="17"/>
        <v>212.70400000000001</v>
      </c>
      <c r="AB110" s="15">
        <f t="shared" si="18"/>
        <v>2127.04</v>
      </c>
      <c r="AC110" s="15">
        <f t="shared" si="19"/>
        <v>527.04</v>
      </c>
    </row>
    <row r="111" spans="1:29" x14ac:dyDescent="0.35">
      <c r="A111" t="s">
        <v>324</v>
      </c>
      <c r="B111" t="s">
        <v>325</v>
      </c>
      <c r="C111" t="s">
        <v>179</v>
      </c>
      <c r="D111" t="s">
        <v>41</v>
      </c>
      <c r="E111" s="1">
        <v>45113</v>
      </c>
      <c r="F111" s="24">
        <f t="shared" si="10"/>
        <v>2023</v>
      </c>
      <c r="G111" s="24" t="str">
        <f t="shared" si="11"/>
        <v>July</v>
      </c>
      <c r="H111" s="24" t="str">
        <f t="shared" si="12"/>
        <v>Thursday</v>
      </c>
      <c r="I111" s="22">
        <v>0.83575231481481482</v>
      </c>
      <c r="J111" s="24">
        <f t="shared" si="13"/>
        <v>20</v>
      </c>
      <c r="K111" s="24">
        <f t="shared" si="14"/>
        <v>3</v>
      </c>
      <c r="L111" s="24">
        <f t="shared" si="15"/>
        <v>29</v>
      </c>
      <c r="M111" t="s">
        <v>26</v>
      </c>
      <c r="N111" t="s">
        <v>27</v>
      </c>
      <c r="O111" s="24">
        <v>8</v>
      </c>
      <c r="P111" s="11">
        <v>647.64</v>
      </c>
      <c r="Q111" s="26">
        <f>VLOOKUP('Prepared Sales Dataset'!M111,'Product-cost'!A:B,2,FALSE)</f>
        <v>300</v>
      </c>
      <c r="R111" t="s">
        <v>28</v>
      </c>
      <c r="S111" t="s">
        <v>43</v>
      </c>
      <c r="T111" t="s">
        <v>74</v>
      </c>
      <c r="U111" t="s">
        <v>922</v>
      </c>
      <c r="V111" s="17">
        <f>P111*O111</f>
        <v>5181.12</v>
      </c>
      <c r="W111" s="19">
        <f>O111*Q111</f>
        <v>2400</v>
      </c>
      <c r="X111" s="13">
        <f>VLOOKUP(R111,Taxrate!A:B,2,FALSE)</f>
        <v>0.1</v>
      </c>
      <c r="Y111" s="15">
        <f t="shared" si="16"/>
        <v>518.11199999999997</v>
      </c>
      <c r="Z111" s="9">
        <f>VLOOKUP(M111,'Discount Rate'!A:B,2,FALSE)</f>
        <v>0.1</v>
      </c>
      <c r="AA111" s="11">
        <f t="shared" si="17"/>
        <v>518.11199999999997</v>
      </c>
      <c r="AB111" s="15">
        <f t="shared" si="18"/>
        <v>4144.8959999999997</v>
      </c>
      <c r="AC111" s="15">
        <f t="shared" si="19"/>
        <v>1744.8959999999997</v>
      </c>
    </row>
    <row r="112" spans="1:29" x14ac:dyDescent="0.35">
      <c r="A112" t="s">
        <v>326</v>
      </c>
      <c r="B112" t="s">
        <v>327</v>
      </c>
      <c r="C112" t="s">
        <v>67</v>
      </c>
      <c r="D112" t="s">
        <v>16</v>
      </c>
      <c r="E112" s="1">
        <v>45068</v>
      </c>
      <c r="F112" s="24">
        <f t="shared" si="10"/>
        <v>2023</v>
      </c>
      <c r="G112" s="24" t="str">
        <f t="shared" si="11"/>
        <v>May</v>
      </c>
      <c r="H112" s="24" t="str">
        <f t="shared" si="12"/>
        <v>Monday</v>
      </c>
      <c r="I112" s="22">
        <v>0.34613425925925928</v>
      </c>
      <c r="J112" s="24">
        <f t="shared" si="13"/>
        <v>8</v>
      </c>
      <c r="K112" s="24">
        <f t="shared" si="14"/>
        <v>18</v>
      </c>
      <c r="L112" s="24">
        <f t="shared" si="15"/>
        <v>26</v>
      </c>
      <c r="M112" t="s">
        <v>26</v>
      </c>
      <c r="N112" t="s">
        <v>27</v>
      </c>
      <c r="O112" s="24">
        <v>13</v>
      </c>
      <c r="P112" s="11">
        <v>698.79</v>
      </c>
      <c r="Q112" s="26">
        <f>VLOOKUP('Prepared Sales Dataset'!M112,'Product-cost'!A:B,2,FALSE)</f>
        <v>300</v>
      </c>
      <c r="R112" t="s">
        <v>42</v>
      </c>
      <c r="S112" t="s">
        <v>36</v>
      </c>
      <c r="T112" t="s">
        <v>142</v>
      </c>
      <c r="U112" t="s">
        <v>921</v>
      </c>
      <c r="V112" s="17">
        <f>P112*O112</f>
        <v>9084.27</v>
      </c>
      <c r="W112" s="19">
        <f>O112*Q112</f>
        <v>3900</v>
      </c>
      <c r="X112" s="13">
        <f>VLOOKUP(R112,Taxrate!A:B,2,FALSE)</f>
        <v>0.15</v>
      </c>
      <c r="Y112" s="15">
        <f t="shared" si="16"/>
        <v>1362.6405</v>
      </c>
      <c r="Z112" s="9">
        <f>VLOOKUP(M112,'Discount Rate'!A:B,2,FALSE)</f>
        <v>0.1</v>
      </c>
      <c r="AA112" s="11">
        <f t="shared" si="17"/>
        <v>908.42700000000013</v>
      </c>
      <c r="AB112" s="15">
        <f t="shared" si="18"/>
        <v>6813.2025000000003</v>
      </c>
      <c r="AC112" s="15">
        <f t="shared" si="19"/>
        <v>2913.2025000000003</v>
      </c>
    </row>
    <row r="113" spans="1:29" x14ac:dyDescent="0.35">
      <c r="A113" t="s">
        <v>328</v>
      </c>
      <c r="B113" t="s">
        <v>329</v>
      </c>
      <c r="C113" t="s">
        <v>139</v>
      </c>
      <c r="D113" t="s">
        <v>25</v>
      </c>
      <c r="E113" s="1">
        <v>45639</v>
      </c>
      <c r="F113" s="24">
        <f t="shared" si="10"/>
        <v>2024</v>
      </c>
      <c r="G113" s="24" t="str">
        <f t="shared" si="11"/>
        <v>December</v>
      </c>
      <c r="H113" s="24" t="str">
        <f t="shared" si="12"/>
        <v>Friday</v>
      </c>
      <c r="I113" s="22">
        <v>0.44056712962962963</v>
      </c>
      <c r="J113" s="24">
        <f t="shared" si="13"/>
        <v>10</v>
      </c>
      <c r="K113" s="24">
        <f t="shared" si="14"/>
        <v>34</v>
      </c>
      <c r="L113" s="24">
        <f t="shared" si="15"/>
        <v>25</v>
      </c>
      <c r="M113" t="s">
        <v>49</v>
      </c>
      <c r="N113" t="s">
        <v>50</v>
      </c>
      <c r="O113" s="24">
        <v>4</v>
      </c>
      <c r="P113" s="11">
        <v>259.18</v>
      </c>
      <c r="Q113" s="26">
        <f>VLOOKUP('Prepared Sales Dataset'!M113,'Product-cost'!A:B,2,FALSE)</f>
        <v>150</v>
      </c>
      <c r="R113" t="s">
        <v>28</v>
      </c>
      <c r="S113" t="s">
        <v>29</v>
      </c>
      <c r="T113" t="s">
        <v>142</v>
      </c>
      <c r="U113" t="s">
        <v>921</v>
      </c>
      <c r="V113" s="17">
        <f>P113*O113</f>
        <v>1036.72</v>
      </c>
      <c r="W113" s="19">
        <f>O113*Q113</f>
        <v>600</v>
      </c>
      <c r="X113" s="13">
        <f>VLOOKUP(R113,Taxrate!A:B,2,FALSE)</f>
        <v>0.1</v>
      </c>
      <c r="Y113" s="15">
        <f t="shared" si="16"/>
        <v>103.67200000000001</v>
      </c>
      <c r="Z113" s="9">
        <f>VLOOKUP(M113,'Discount Rate'!A:B,2,FALSE)</f>
        <v>7.0000000000000007E-2</v>
      </c>
      <c r="AA113" s="11">
        <f t="shared" si="17"/>
        <v>72.570400000000006</v>
      </c>
      <c r="AB113" s="15">
        <f t="shared" si="18"/>
        <v>860.47759999999994</v>
      </c>
      <c r="AC113" s="15">
        <f t="shared" si="19"/>
        <v>260.47759999999994</v>
      </c>
    </row>
    <row r="114" spans="1:29" x14ac:dyDescent="0.35">
      <c r="A114" t="s">
        <v>330</v>
      </c>
      <c r="B114" t="s">
        <v>331</v>
      </c>
      <c r="C114" t="s">
        <v>195</v>
      </c>
      <c r="D114" t="s">
        <v>63</v>
      </c>
      <c r="E114" s="1">
        <v>44992</v>
      </c>
      <c r="F114" s="24">
        <f t="shared" si="10"/>
        <v>2023</v>
      </c>
      <c r="G114" s="24" t="str">
        <f t="shared" si="11"/>
        <v>March</v>
      </c>
      <c r="H114" s="24" t="str">
        <f t="shared" si="12"/>
        <v>Tuesday</v>
      </c>
      <c r="I114" s="22">
        <v>0.74304398148148143</v>
      </c>
      <c r="J114" s="24">
        <f t="shared" si="13"/>
        <v>17</v>
      </c>
      <c r="K114" s="24">
        <f t="shared" si="14"/>
        <v>49</v>
      </c>
      <c r="L114" s="24">
        <f t="shared" si="15"/>
        <v>59</v>
      </c>
      <c r="M114" t="s">
        <v>17</v>
      </c>
      <c r="N114" t="s">
        <v>18</v>
      </c>
      <c r="O114" s="24">
        <v>2</v>
      </c>
      <c r="P114" s="11">
        <v>506</v>
      </c>
      <c r="Q114" s="26">
        <f>VLOOKUP('Prepared Sales Dataset'!M114,'Product-cost'!A:B,2,FALSE)</f>
        <v>600</v>
      </c>
      <c r="R114" t="s">
        <v>55</v>
      </c>
      <c r="S114" t="s">
        <v>64</v>
      </c>
      <c r="T114" t="s">
        <v>44</v>
      </c>
      <c r="U114" t="s">
        <v>921</v>
      </c>
      <c r="V114" s="17">
        <f>P114*O114</f>
        <v>1012</v>
      </c>
      <c r="W114" s="19">
        <f>O114*Q114</f>
        <v>1200</v>
      </c>
      <c r="X114" s="13">
        <f>VLOOKUP(R114,Taxrate!A:B,2,FALSE)</f>
        <v>7.0000000000000007E-2</v>
      </c>
      <c r="Y114" s="15">
        <f t="shared" si="16"/>
        <v>70.84</v>
      </c>
      <c r="Z114" s="9">
        <f>VLOOKUP(M114,'Discount Rate'!A:B,2,FALSE)</f>
        <v>0.05</v>
      </c>
      <c r="AA114" s="11">
        <f t="shared" si="17"/>
        <v>50.6</v>
      </c>
      <c r="AB114" s="15">
        <f t="shared" si="18"/>
        <v>890.56</v>
      </c>
      <c r="AC114" s="15">
        <f t="shared" si="19"/>
        <v>-309.44000000000005</v>
      </c>
    </row>
    <row r="115" spans="1:29" x14ac:dyDescent="0.35">
      <c r="A115" t="s">
        <v>332</v>
      </c>
      <c r="B115" t="s">
        <v>333</v>
      </c>
      <c r="C115" t="s">
        <v>47</v>
      </c>
      <c r="D115" t="s">
        <v>48</v>
      </c>
      <c r="E115" s="1">
        <v>45958</v>
      </c>
      <c r="F115" s="24">
        <f t="shared" si="10"/>
        <v>2025</v>
      </c>
      <c r="G115" s="24" t="str">
        <f t="shared" si="11"/>
        <v>October</v>
      </c>
      <c r="H115" s="24" t="str">
        <f t="shared" si="12"/>
        <v>Tuesday</v>
      </c>
      <c r="I115" s="22">
        <v>0.49511574074074072</v>
      </c>
      <c r="J115" s="24">
        <f t="shared" si="13"/>
        <v>11</v>
      </c>
      <c r="K115" s="24">
        <f t="shared" si="14"/>
        <v>52</v>
      </c>
      <c r="L115" s="24">
        <f t="shared" si="15"/>
        <v>58</v>
      </c>
      <c r="M115" t="s">
        <v>49</v>
      </c>
      <c r="N115" t="s">
        <v>50</v>
      </c>
      <c r="O115" s="24">
        <v>10</v>
      </c>
      <c r="P115" s="11">
        <v>266.02</v>
      </c>
      <c r="Q115" s="26">
        <f>VLOOKUP('Prepared Sales Dataset'!M115,'Product-cost'!A:B,2,FALSE)</f>
        <v>150</v>
      </c>
      <c r="R115" t="s">
        <v>35</v>
      </c>
      <c r="S115" t="s">
        <v>85</v>
      </c>
      <c r="T115" t="s">
        <v>44</v>
      </c>
      <c r="U115" t="s">
        <v>921</v>
      </c>
      <c r="V115" s="17">
        <f>P115*O115</f>
        <v>2660.2</v>
      </c>
      <c r="W115" s="19">
        <f>O115*Q115</f>
        <v>1500</v>
      </c>
      <c r="X115" s="13">
        <f>VLOOKUP(R115,Taxrate!A:B,2,FALSE)</f>
        <v>0.2</v>
      </c>
      <c r="Y115" s="15">
        <f t="shared" si="16"/>
        <v>532.04</v>
      </c>
      <c r="Z115" s="9">
        <f>VLOOKUP(M115,'Discount Rate'!A:B,2,FALSE)</f>
        <v>7.0000000000000007E-2</v>
      </c>
      <c r="AA115" s="11">
        <f t="shared" si="17"/>
        <v>186.214</v>
      </c>
      <c r="AB115" s="15">
        <f t="shared" si="18"/>
        <v>1941.9459999999999</v>
      </c>
      <c r="AC115" s="15">
        <f t="shared" si="19"/>
        <v>441.94599999999991</v>
      </c>
    </row>
    <row r="116" spans="1:29" x14ac:dyDescent="0.35">
      <c r="A116" t="s">
        <v>334</v>
      </c>
      <c r="B116" t="s">
        <v>335</v>
      </c>
      <c r="C116" t="s">
        <v>62</v>
      </c>
      <c r="D116" t="s">
        <v>63</v>
      </c>
      <c r="E116" s="1">
        <v>46317</v>
      </c>
      <c r="F116" s="24">
        <f t="shared" si="10"/>
        <v>2026</v>
      </c>
      <c r="G116" s="24" t="str">
        <f t="shared" si="11"/>
        <v>October</v>
      </c>
      <c r="H116" s="24" t="str">
        <f t="shared" si="12"/>
        <v>Thursday</v>
      </c>
      <c r="I116" s="22">
        <v>0.68822916666666667</v>
      </c>
      <c r="J116" s="24">
        <f t="shared" si="13"/>
        <v>16</v>
      </c>
      <c r="K116" s="24">
        <f t="shared" si="14"/>
        <v>31</v>
      </c>
      <c r="L116" s="24">
        <f t="shared" si="15"/>
        <v>3</v>
      </c>
      <c r="M116" t="s">
        <v>33</v>
      </c>
      <c r="N116" t="s">
        <v>34</v>
      </c>
      <c r="O116" s="24">
        <v>11</v>
      </c>
      <c r="P116" s="11">
        <v>424.89</v>
      </c>
      <c r="Q116" s="26">
        <f>VLOOKUP('Prepared Sales Dataset'!M116,'Product-cost'!A:B,2,FALSE)</f>
        <v>200</v>
      </c>
      <c r="R116" t="s">
        <v>42</v>
      </c>
      <c r="S116" t="s">
        <v>64</v>
      </c>
      <c r="T116" t="s">
        <v>103</v>
      </c>
      <c r="U116" t="s">
        <v>921</v>
      </c>
      <c r="V116" s="17">
        <f>P116*O116</f>
        <v>4673.79</v>
      </c>
      <c r="W116" s="19">
        <f>O116*Q116</f>
        <v>2200</v>
      </c>
      <c r="X116" s="13">
        <f>VLOOKUP(R116,Taxrate!A:B,2,FALSE)</f>
        <v>0.15</v>
      </c>
      <c r="Y116" s="15">
        <f t="shared" si="16"/>
        <v>701.06849999999997</v>
      </c>
      <c r="Z116" s="9">
        <f>VLOOKUP(M116,'Discount Rate'!A:B,2,FALSE)</f>
        <v>0.08</v>
      </c>
      <c r="AA116" s="11">
        <f t="shared" si="17"/>
        <v>373.90320000000003</v>
      </c>
      <c r="AB116" s="15">
        <f t="shared" si="18"/>
        <v>3598.8182999999999</v>
      </c>
      <c r="AC116" s="15">
        <f t="shared" si="19"/>
        <v>1398.8182999999999</v>
      </c>
    </row>
    <row r="117" spans="1:29" x14ac:dyDescent="0.35">
      <c r="A117" t="s">
        <v>336</v>
      </c>
      <c r="B117" t="s">
        <v>337</v>
      </c>
      <c r="C117" t="s">
        <v>150</v>
      </c>
      <c r="D117" t="s">
        <v>25</v>
      </c>
      <c r="E117" s="1">
        <v>46078</v>
      </c>
      <c r="F117" s="24">
        <f t="shared" si="10"/>
        <v>2026</v>
      </c>
      <c r="G117" s="24" t="str">
        <f t="shared" si="11"/>
        <v>February</v>
      </c>
      <c r="H117" s="24" t="str">
        <f t="shared" si="12"/>
        <v>Wednesday</v>
      </c>
      <c r="I117" s="22">
        <v>0.60802083333333334</v>
      </c>
      <c r="J117" s="24">
        <f t="shared" si="13"/>
        <v>14</v>
      </c>
      <c r="K117" s="24">
        <f t="shared" si="14"/>
        <v>35</v>
      </c>
      <c r="L117" s="24">
        <f t="shared" si="15"/>
        <v>33</v>
      </c>
      <c r="M117" t="s">
        <v>26</v>
      </c>
      <c r="N117" t="s">
        <v>27</v>
      </c>
      <c r="O117" s="24">
        <v>5</v>
      </c>
      <c r="P117" s="11">
        <v>674.01</v>
      </c>
      <c r="Q117" s="26">
        <f>VLOOKUP('Prepared Sales Dataset'!M117,'Product-cost'!A:B,2,FALSE)</f>
        <v>300</v>
      </c>
      <c r="R117" t="s">
        <v>42</v>
      </c>
      <c r="S117" t="s">
        <v>155</v>
      </c>
      <c r="T117" t="s">
        <v>133</v>
      </c>
      <c r="U117" t="s">
        <v>921</v>
      </c>
      <c r="V117" s="17">
        <f>P117*O117</f>
        <v>3370.05</v>
      </c>
      <c r="W117" s="19">
        <f>O117*Q117</f>
        <v>1500</v>
      </c>
      <c r="X117" s="13">
        <f>VLOOKUP(R117,Taxrate!A:B,2,FALSE)</f>
        <v>0.15</v>
      </c>
      <c r="Y117" s="15">
        <f t="shared" si="16"/>
        <v>505.50749999999999</v>
      </c>
      <c r="Z117" s="9">
        <f>VLOOKUP(M117,'Discount Rate'!A:B,2,FALSE)</f>
        <v>0.1</v>
      </c>
      <c r="AA117" s="11">
        <f t="shared" si="17"/>
        <v>337.00500000000005</v>
      </c>
      <c r="AB117" s="15">
        <f t="shared" si="18"/>
        <v>2527.5375000000004</v>
      </c>
      <c r="AC117" s="15">
        <f t="shared" si="19"/>
        <v>1027.5375000000004</v>
      </c>
    </row>
    <row r="118" spans="1:29" x14ac:dyDescent="0.35">
      <c r="A118" t="s">
        <v>338</v>
      </c>
      <c r="B118" t="s">
        <v>339</v>
      </c>
      <c r="C118" t="s">
        <v>70</v>
      </c>
      <c r="D118" t="s">
        <v>71</v>
      </c>
      <c r="E118" s="1">
        <v>46130</v>
      </c>
      <c r="F118" s="24">
        <f t="shared" si="10"/>
        <v>2026</v>
      </c>
      <c r="G118" s="24" t="str">
        <f t="shared" si="11"/>
        <v>April</v>
      </c>
      <c r="H118" s="24" t="str">
        <f t="shared" si="12"/>
        <v>Saturday</v>
      </c>
      <c r="I118" s="22">
        <v>0.63466435185185188</v>
      </c>
      <c r="J118" s="24">
        <f t="shared" si="13"/>
        <v>15</v>
      </c>
      <c r="K118" s="24">
        <f t="shared" si="14"/>
        <v>13</v>
      </c>
      <c r="L118" s="24">
        <f t="shared" si="15"/>
        <v>55</v>
      </c>
      <c r="M118" t="s">
        <v>33</v>
      </c>
      <c r="N118" t="s">
        <v>34</v>
      </c>
      <c r="O118" s="24">
        <v>15</v>
      </c>
      <c r="P118" s="11">
        <v>506</v>
      </c>
      <c r="Q118" s="26">
        <f>VLOOKUP('Prepared Sales Dataset'!M118,'Product-cost'!A:B,2,FALSE)</f>
        <v>200</v>
      </c>
      <c r="R118" t="s">
        <v>35</v>
      </c>
      <c r="S118" t="s">
        <v>190</v>
      </c>
      <c r="T118" t="s">
        <v>103</v>
      </c>
      <c r="U118" t="s">
        <v>921</v>
      </c>
      <c r="V118" s="17">
        <f>P118*O118</f>
        <v>7590</v>
      </c>
      <c r="W118" s="19">
        <f>O118*Q118</f>
        <v>3000</v>
      </c>
      <c r="X118" s="13">
        <f>VLOOKUP(R118,Taxrate!A:B,2,FALSE)</f>
        <v>0.2</v>
      </c>
      <c r="Y118" s="15">
        <f t="shared" si="16"/>
        <v>1518</v>
      </c>
      <c r="Z118" s="9">
        <f>VLOOKUP(M118,'Discount Rate'!A:B,2,FALSE)</f>
        <v>0.08</v>
      </c>
      <c r="AA118" s="11">
        <f t="shared" si="17"/>
        <v>607.20000000000005</v>
      </c>
      <c r="AB118" s="15">
        <f t="shared" si="18"/>
        <v>5464.8</v>
      </c>
      <c r="AC118" s="15">
        <f t="shared" si="19"/>
        <v>2464.8000000000002</v>
      </c>
    </row>
    <row r="119" spans="1:29" x14ac:dyDescent="0.35">
      <c r="A119" t="s">
        <v>340</v>
      </c>
      <c r="B119" t="s">
        <v>341</v>
      </c>
      <c r="C119" t="s">
        <v>24</v>
      </c>
      <c r="D119" t="s">
        <v>25</v>
      </c>
      <c r="E119" s="1">
        <v>45506</v>
      </c>
      <c r="F119" s="24">
        <f t="shared" si="10"/>
        <v>2024</v>
      </c>
      <c r="G119" s="24" t="str">
        <f t="shared" si="11"/>
        <v>August</v>
      </c>
      <c r="H119" s="24" t="str">
        <f t="shared" si="12"/>
        <v>Friday</v>
      </c>
      <c r="I119" s="22">
        <v>0.64908564814814818</v>
      </c>
      <c r="J119" s="24">
        <f t="shared" si="13"/>
        <v>15</v>
      </c>
      <c r="K119" s="24">
        <f t="shared" si="14"/>
        <v>34</v>
      </c>
      <c r="L119" s="24">
        <f t="shared" si="15"/>
        <v>41</v>
      </c>
      <c r="M119" t="s">
        <v>33</v>
      </c>
      <c r="N119" t="s">
        <v>34</v>
      </c>
      <c r="O119" s="24">
        <v>6</v>
      </c>
      <c r="P119" s="11">
        <v>419.46</v>
      </c>
      <c r="Q119" s="26">
        <f>VLOOKUP('Prepared Sales Dataset'!M119,'Product-cost'!A:B,2,FALSE)</f>
        <v>200</v>
      </c>
      <c r="R119" t="s">
        <v>55</v>
      </c>
      <c r="S119" t="s">
        <v>29</v>
      </c>
      <c r="T119" t="s">
        <v>133</v>
      </c>
      <c r="U119" t="s">
        <v>921</v>
      </c>
      <c r="V119" s="17">
        <f>P119*O119</f>
        <v>2516.7599999999998</v>
      </c>
      <c r="W119" s="19">
        <f>O119*Q119</f>
        <v>1200</v>
      </c>
      <c r="X119" s="13">
        <f>VLOOKUP(R119,Taxrate!A:B,2,FALSE)</f>
        <v>7.0000000000000007E-2</v>
      </c>
      <c r="Y119" s="15">
        <f t="shared" si="16"/>
        <v>176.17320000000001</v>
      </c>
      <c r="Z119" s="9">
        <f>VLOOKUP(M119,'Discount Rate'!A:B,2,FALSE)</f>
        <v>0.08</v>
      </c>
      <c r="AA119" s="11">
        <f t="shared" si="17"/>
        <v>201.34079999999997</v>
      </c>
      <c r="AB119" s="15">
        <f t="shared" si="18"/>
        <v>2139.2459999999996</v>
      </c>
      <c r="AC119" s="15">
        <f t="shared" si="19"/>
        <v>939.24599999999964</v>
      </c>
    </row>
    <row r="120" spans="1:29" x14ac:dyDescent="0.35">
      <c r="A120" t="s">
        <v>342</v>
      </c>
      <c r="B120" t="s">
        <v>304</v>
      </c>
      <c r="C120" t="s">
        <v>24</v>
      </c>
      <c r="D120" t="s">
        <v>25</v>
      </c>
      <c r="E120" s="1">
        <v>44960</v>
      </c>
      <c r="F120" s="24">
        <f t="shared" si="10"/>
        <v>2023</v>
      </c>
      <c r="G120" s="24" t="str">
        <f t="shared" si="11"/>
        <v>February</v>
      </c>
      <c r="H120" s="24" t="str">
        <f t="shared" si="12"/>
        <v>Friday</v>
      </c>
      <c r="I120" s="22">
        <v>0.70806712962962959</v>
      </c>
      <c r="J120" s="24">
        <f t="shared" si="13"/>
        <v>16</v>
      </c>
      <c r="K120" s="24">
        <f t="shared" si="14"/>
        <v>59</v>
      </c>
      <c r="L120" s="24">
        <f t="shared" si="15"/>
        <v>37</v>
      </c>
      <c r="M120" t="s">
        <v>49</v>
      </c>
      <c r="N120" t="s">
        <v>50</v>
      </c>
      <c r="O120" s="24">
        <v>5</v>
      </c>
      <c r="P120" s="11">
        <v>212.29</v>
      </c>
      <c r="Q120" s="26">
        <f>VLOOKUP('Prepared Sales Dataset'!M120,'Product-cost'!A:B,2,FALSE)</f>
        <v>150</v>
      </c>
      <c r="R120" t="s">
        <v>42</v>
      </c>
      <c r="S120" t="s">
        <v>56</v>
      </c>
      <c r="T120" t="s">
        <v>133</v>
      </c>
      <c r="U120" t="s">
        <v>921</v>
      </c>
      <c r="V120" s="17">
        <f>P120*O120</f>
        <v>1061.45</v>
      </c>
      <c r="W120" s="19">
        <f>O120*Q120</f>
        <v>750</v>
      </c>
      <c r="X120" s="13">
        <f>VLOOKUP(R120,Taxrate!A:B,2,FALSE)</f>
        <v>0.15</v>
      </c>
      <c r="Y120" s="15">
        <f t="shared" si="16"/>
        <v>159.2175</v>
      </c>
      <c r="Z120" s="9">
        <f>VLOOKUP(M120,'Discount Rate'!A:B,2,FALSE)</f>
        <v>7.0000000000000007E-2</v>
      </c>
      <c r="AA120" s="11">
        <f t="shared" si="17"/>
        <v>74.301500000000004</v>
      </c>
      <c r="AB120" s="15">
        <f t="shared" si="18"/>
        <v>827.93100000000004</v>
      </c>
      <c r="AC120" s="15">
        <f t="shared" si="19"/>
        <v>77.93100000000004</v>
      </c>
    </row>
    <row r="121" spans="1:29" x14ac:dyDescent="0.35">
      <c r="A121" t="s">
        <v>343</v>
      </c>
      <c r="B121" t="s">
        <v>344</v>
      </c>
      <c r="C121" t="s">
        <v>77</v>
      </c>
      <c r="D121" t="s">
        <v>63</v>
      </c>
      <c r="E121" s="1">
        <v>45271</v>
      </c>
      <c r="F121" s="24">
        <f t="shared" si="10"/>
        <v>2023</v>
      </c>
      <c r="G121" s="24" t="str">
        <f t="shared" si="11"/>
        <v>December</v>
      </c>
      <c r="H121" s="24" t="str">
        <f t="shared" si="12"/>
        <v>Monday</v>
      </c>
      <c r="I121" s="22">
        <v>0.42275462962962962</v>
      </c>
      <c r="J121" s="24">
        <f t="shared" si="13"/>
        <v>10</v>
      </c>
      <c r="K121" s="24">
        <f t="shared" si="14"/>
        <v>8</v>
      </c>
      <c r="L121" s="24">
        <f t="shared" si="15"/>
        <v>46</v>
      </c>
      <c r="M121" t="s">
        <v>49</v>
      </c>
      <c r="N121" t="s">
        <v>50</v>
      </c>
      <c r="O121" s="24">
        <v>15</v>
      </c>
      <c r="P121" s="11">
        <v>284.94</v>
      </c>
      <c r="Q121" s="26">
        <f>VLOOKUP('Prepared Sales Dataset'!M121,'Product-cost'!A:B,2,FALSE)</f>
        <v>150</v>
      </c>
      <c r="R121" t="s">
        <v>55</v>
      </c>
      <c r="S121" t="s">
        <v>241</v>
      </c>
      <c r="T121" t="s">
        <v>166</v>
      </c>
      <c r="U121" t="s">
        <v>921</v>
      </c>
      <c r="V121" s="17">
        <f>P121*O121</f>
        <v>4274.1000000000004</v>
      </c>
      <c r="W121" s="19">
        <f>O121*Q121</f>
        <v>2250</v>
      </c>
      <c r="X121" s="13">
        <f>VLOOKUP(R121,Taxrate!A:B,2,FALSE)</f>
        <v>7.0000000000000007E-2</v>
      </c>
      <c r="Y121" s="15">
        <f t="shared" si="16"/>
        <v>299.18700000000007</v>
      </c>
      <c r="Z121" s="9">
        <f>VLOOKUP(M121,'Discount Rate'!A:B,2,FALSE)</f>
        <v>7.0000000000000007E-2</v>
      </c>
      <c r="AA121" s="11">
        <f t="shared" si="17"/>
        <v>299.18700000000007</v>
      </c>
      <c r="AB121" s="15">
        <f t="shared" si="18"/>
        <v>3675.7260000000001</v>
      </c>
      <c r="AC121" s="15">
        <f t="shared" si="19"/>
        <v>1425.7260000000001</v>
      </c>
    </row>
    <row r="122" spans="1:29" x14ac:dyDescent="0.35">
      <c r="A122" t="s">
        <v>345</v>
      </c>
      <c r="B122" t="s">
        <v>162</v>
      </c>
      <c r="C122" t="s">
        <v>70</v>
      </c>
      <c r="D122" t="s">
        <v>71</v>
      </c>
      <c r="E122" s="1">
        <v>44945</v>
      </c>
      <c r="F122" s="24">
        <f t="shared" si="10"/>
        <v>2023</v>
      </c>
      <c r="G122" s="24" t="str">
        <f t="shared" si="11"/>
        <v>January</v>
      </c>
      <c r="H122" s="24" t="str">
        <f t="shared" si="12"/>
        <v>Thursday</v>
      </c>
      <c r="I122" s="22">
        <v>0.68707175925925923</v>
      </c>
      <c r="J122" s="24">
        <f t="shared" si="13"/>
        <v>16</v>
      </c>
      <c r="K122" s="24">
        <f t="shared" si="14"/>
        <v>29</v>
      </c>
      <c r="L122" s="24">
        <f t="shared" si="15"/>
        <v>23</v>
      </c>
      <c r="M122" t="s">
        <v>17</v>
      </c>
      <c r="N122" t="s">
        <v>18</v>
      </c>
      <c r="O122" s="24">
        <v>11</v>
      </c>
      <c r="P122" s="11">
        <v>1256.3800000000001</v>
      </c>
      <c r="Q122" s="26">
        <f>VLOOKUP('Prepared Sales Dataset'!M122,'Product-cost'!A:B,2,FALSE)</f>
        <v>600</v>
      </c>
      <c r="R122" t="s">
        <v>42</v>
      </c>
      <c r="S122" t="s">
        <v>190</v>
      </c>
      <c r="T122" t="s">
        <v>21</v>
      </c>
      <c r="U122" t="s">
        <v>921</v>
      </c>
      <c r="V122" s="17">
        <f>P122*O122</f>
        <v>13820.18</v>
      </c>
      <c r="W122" s="19">
        <f>O122*Q122</f>
        <v>6600</v>
      </c>
      <c r="X122" s="13">
        <f>VLOOKUP(R122,Taxrate!A:B,2,FALSE)</f>
        <v>0.15</v>
      </c>
      <c r="Y122" s="15">
        <f t="shared" si="16"/>
        <v>2073.027</v>
      </c>
      <c r="Z122" s="9">
        <f>VLOOKUP(M122,'Discount Rate'!A:B,2,FALSE)</f>
        <v>0.05</v>
      </c>
      <c r="AA122" s="11">
        <f t="shared" si="17"/>
        <v>691.00900000000001</v>
      </c>
      <c r="AB122" s="15">
        <f t="shared" si="18"/>
        <v>11056.144</v>
      </c>
      <c r="AC122" s="15">
        <f t="shared" si="19"/>
        <v>4456.1440000000002</v>
      </c>
    </row>
    <row r="123" spans="1:29" x14ac:dyDescent="0.35">
      <c r="A123" t="s">
        <v>346</v>
      </c>
      <c r="B123" t="s">
        <v>347</v>
      </c>
      <c r="C123" t="s">
        <v>136</v>
      </c>
      <c r="D123" t="s">
        <v>25</v>
      </c>
      <c r="E123" s="1">
        <v>45294</v>
      </c>
      <c r="F123" s="24">
        <f t="shared" si="10"/>
        <v>2024</v>
      </c>
      <c r="G123" s="24" t="str">
        <f t="shared" si="11"/>
        <v>January</v>
      </c>
      <c r="H123" s="24" t="str">
        <f t="shared" si="12"/>
        <v>Wednesday</v>
      </c>
      <c r="I123" s="22">
        <v>0.39802083333333332</v>
      </c>
      <c r="J123" s="24">
        <f t="shared" si="13"/>
        <v>9</v>
      </c>
      <c r="K123" s="24">
        <f t="shared" si="14"/>
        <v>33</v>
      </c>
      <c r="L123" s="24">
        <f t="shared" si="15"/>
        <v>9</v>
      </c>
      <c r="M123" t="s">
        <v>26</v>
      </c>
      <c r="N123" t="s">
        <v>27</v>
      </c>
      <c r="O123" s="24">
        <v>9</v>
      </c>
      <c r="P123" s="11">
        <v>586.33000000000004</v>
      </c>
      <c r="Q123" s="26">
        <f>VLOOKUP('Prepared Sales Dataset'!M123,'Product-cost'!A:B,2,FALSE)</f>
        <v>300</v>
      </c>
      <c r="R123" t="s">
        <v>42</v>
      </c>
      <c r="S123" t="s">
        <v>56</v>
      </c>
      <c r="T123" t="s">
        <v>44</v>
      </c>
      <c r="U123" t="s">
        <v>921</v>
      </c>
      <c r="V123" s="17">
        <f>P123*O123</f>
        <v>5276.97</v>
      </c>
      <c r="W123" s="19">
        <f>O123*Q123</f>
        <v>2700</v>
      </c>
      <c r="X123" s="13">
        <f>VLOOKUP(R123,Taxrate!A:B,2,FALSE)</f>
        <v>0.15</v>
      </c>
      <c r="Y123" s="15">
        <f t="shared" si="16"/>
        <v>791.54550000000006</v>
      </c>
      <c r="Z123" s="9">
        <f>VLOOKUP(M123,'Discount Rate'!A:B,2,FALSE)</f>
        <v>0.1</v>
      </c>
      <c r="AA123" s="11">
        <f t="shared" si="17"/>
        <v>527.697</v>
      </c>
      <c r="AB123" s="15">
        <f t="shared" si="18"/>
        <v>3957.7275</v>
      </c>
      <c r="AC123" s="15">
        <f t="shared" si="19"/>
        <v>1257.7275</v>
      </c>
    </row>
    <row r="124" spans="1:29" x14ac:dyDescent="0.35">
      <c r="A124" t="s">
        <v>348</v>
      </c>
      <c r="B124" t="s">
        <v>349</v>
      </c>
      <c r="C124" t="s">
        <v>70</v>
      </c>
      <c r="D124" t="s">
        <v>71</v>
      </c>
      <c r="E124" s="1">
        <v>45118</v>
      </c>
      <c r="F124" s="24">
        <f t="shared" si="10"/>
        <v>2023</v>
      </c>
      <c r="G124" s="24" t="str">
        <f t="shared" si="11"/>
        <v>July</v>
      </c>
      <c r="H124" s="24" t="str">
        <f t="shared" si="12"/>
        <v>Tuesday</v>
      </c>
      <c r="I124" s="22">
        <v>0.60040509259259256</v>
      </c>
      <c r="J124" s="24">
        <f t="shared" si="13"/>
        <v>14</v>
      </c>
      <c r="K124" s="24">
        <f t="shared" si="14"/>
        <v>24</v>
      </c>
      <c r="L124" s="24">
        <f t="shared" si="15"/>
        <v>35</v>
      </c>
      <c r="M124" t="s">
        <v>78</v>
      </c>
      <c r="N124" t="s">
        <v>79</v>
      </c>
      <c r="O124" s="24">
        <v>8</v>
      </c>
      <c r="P124" s="11">
        <v>506</v>
      </c>
      <c r="Q124" s="26">
        <f>VLOOKUP('Prepared Sales Dataset'!M124,'Product-cost'!A:B,2,FALSE)</f>
        <v>50</v>
      </c>
      <c r="R124" t="s">
        <v>35</v>
      </c>
      <c r="S124" t="s">
        <v>190</v>
      </c>
      <c r="T124" t="s">
        <v>133</v>
      </c>
      <c r="U124" t="s">
        <v>921</v>
      </c>
      <c r="V124" s="17">
        <f>P124*O124</f>
        <v>4048</v>
      </c>
      <c r="W124" s="19">
        <f>O124*Q124</f>
        <v>400</v>
      </c>
      <c r="X124" s="13">
        <f>VLOOKUP(R124,Taxrate!A:B,2,FALSE)</f>
        <v>0.2</v>
      </c>
      <c r="Y124" s="15">
        <f t="shared" si="16"/>
        <v>809.6</v>
      </c>
      <c r="Z124" s="9">
        <f>VLOOKUP(M124,'Discount Rate'!A:B,2,FALSE)</f>
        <v>0.03</v>
      </c>
      <c r="AA124" s="11">
        <f t="shared" si="17"/>
        <v>121.44</v>
      </c>
      <c r="AB124" s="15">
        <f t="shared" si="18"/>
        <v>3116.96</v>
      </c>
      <c r="AC124" s="15">
        <f t="shared" si="19"/>
        <v>2716.96</v>
      </c>
    </row>
    <row r="125" spans="1:29" x14ac:dyDescent="0.35">
      <c r="A125" t="s">
        <v>350</v>
      </c>
      <c r="B125" t="s">
        <v>351</v>
      </c>
      <c r="C125" t="s">
        <v>47</v>
      </c>
      <c r="D125" t="s">
        <v>48</v>
      </c>
      <c r="E125" s="1">
        <v>45359</v>
      </c>
      <c r="F125" s="24">
        <f t="shared" si="10"/>
        <v>2024</v>
      </c>
      <c r="G125" s="24" t="str">
        <f t="shared" si="11"/>
        <v>March</v>
      </c>
      <c r="H125" s="24" t="str">
        <f t="shared" si="12"/>
        <v>Friday</v>
      </c>
      <c r="I125" s="22">
        <v>0.50207175925925929</v>
      </c>
      <c r="J125" s="24">
        <f t="shared" si="13"/>
        <v>12</v>
      </c>
      <c r="K125" s="24">
        <f t="shared" si="14"/>
        <v>2</v>
      </c>
      <c r="L125" s="24">
        <f t="shared" si="15"/>
        <v>59</v>
      </c>
      <c r="M125" t="s">
        <v>17</v>
      </c>
      <c r="N125" t="s">
        <v>18</v>
      </c>
      <c r="O125" s="24">
        <v>5</v>
      </c>
      <c r="P125" s="11">
        <v>1081.75</v>
      </c>
      <c r="Q125" s="26">
        <f>VLOOKUP('Prepared Sales Dataset'!M125,'Product-cost'!A:B,2,FALSE)</f>
        <v>600</v>
      </c>
      <c r="R125" t="s">
        <v>55</v>
      </c>
      <c r="S125" t="s">
        <v>85</v>
      </c>
      <c r="T125" t="s">
        <v>74</v>
      </c>
      <c r="U125" t="s">
        <v>922</v>
      </c>
      <c r="V125" s="17">
        <f>P125*O125</f>
        <v>5408.75</v>
      </c>
      <c r="W125" s="19">
        <f>O125*Q125</f>
        <v>3000</v>
      </c>
      <c r="X125" s="13">
        <f>VLOOKUP(R125,Taxrate!A:B,2,FALSE)</f>
        <v>7.0000000000000007E-2</v>
      </c>
      <c r="Y125" s="15">
        <f t="shared" si="16"/>
        <v>378.61250000000001</v>
      </c>
      <c r="Z125" s="9">
        <f>VLOOKUP(M125,'Discount Rate'!A:B,2,FALSE)</f>
        <v>0.05</v>
      </c>
      <c r="AA125" s="11">
        <f t="shared" si="17"/>
        <v>270.4375</v>
      </c>
      <c r="AB125" s="15">
        <f t="shared" si="18"/>
        <v>4759.7</v>
      </c>
      <c r="AC125" s="15">
        <f t="shared" si="19"/>
        <v>1759.6999999999998</v>
      </c>
    </row>
    <row r="126" spans="1:29" x14ac:dyDescent="0.35">
      <c r="A126" t="s">
        <v>352</v>
      </c>
      <c r="B126" t="s">
        <v>353</v>
      </c>
      <c r="C126" t="s">
        <v>70</v>
      </c>
      <c r="D126" t="s">
        <v>71</v>
      </c>
      <c r="E126" s="1">
        <v>45259</v>
      </c>
      <c r="F126" s="24">
        <f t="shared" si="10"/>
        <v>2023</v>
      </c>
      <c r="G126" s="24" t="str">
        <f t="shared" si="11"/>
        <v>November</v>
      </c>
      <c r="H126" s="24" t="str">
        <f t="shared" si="12"/>
        <v>Wednesday</v>
      </c>
      <c r="I126" s="22">
        <v>0.74576388888888889</v>
      </c>
      <c r="J126" s="24">
        <f t="shared" si="13"/>
        <v>17</v>
      </c>
      <c r="K126" s="24">
        <f t="shared" si="14"/>
        <v>53</v>
      </c>
      <c r="L126" s="24">
        <f t="shared" si="15"/>
        <v>54</v>
      </c>
      <c r="M126" t="s">
        <v>78</v>
      </c>
      <c r="N126" t="s">
        <v>79</v>
      </c>
      <c r="O126" s="24">
        <v>9</v>
      </c>
      <c r="P126" s="11">
        <v>176.67</v>
      </c>
      <c r="Q126" s="26">
        <f>VLOOKUP('Prepared Sales Dataset'!M126,'Product-cost'!A:B,2,FALSE)</f>
        <v>50</v>
      </c>
      <c r="R126" t="s">
        <v>35</v>
      </c>
      <c r="S126" t="s">
        <v>73</v>
      </c>
      <c r="U126" t="s">
        <v>923</v>
      </c>
      <c r="V126" s="17">
        <f>P126*O126</f>
        <v>1590.03</v>
      </c>
      <c r="W126" s="19">
        <f>O126*Q126</f>
        <v>450</v>
      </c>
      <c r="X126" s="13">
        <f>VLOOKUP(R126,Taxrate!A:B,2,FALSE)</f>
        <v>0.2</v>
      </c>
      <c r="Y126" s="15">
        <f t="shared" si="16"/>
        <v>318.00600000000003</v>
      </c>
      <c r="Z126" s="9">
        <f>VLOOKUP(M126,'Discount Rate'!A:B,2,FALSE)</f>
        <v>0.03</v>
      </c>
      <c r="AA126" s="11">
        <f t="shared" si="17"/>
        <v>47.700899999999997</v>
      </c>
      <c r="AB126" s="15">
        <f t="shared" si="18"/>
        <v>1224.3231000000001</v>
      </c>
      <c r="AC126" s="15">
        <f t="shared" si="19"/>
        <v>774.32310000000007</v>
      </c>
    </row>
    <row r="127" spans="1:29" x14ac:dyDescent="0.35">
      <c r="A127" t="s">
        <v>354</v>
      </c>
      <c r="B127" t="s">
        <v>355</v>
      </c>
      <c r="C127" t="s">
        <v>98</v>
      </c>
      <c r="D127" t="s">
        <v>99</v>
      </c>
      <c r="E127" s="1">
        <v>46146</v>
      </c>
      <c r="F127" s="24">
        <f t="shared" si="10"/>
        <v>2026</v>
      </c>
      <c r="G127" s="24" t="str">
        <f t="shared" si="11"/>
        <v>May</v>
      </c>
      <c r="H127" s="24" t="str">
        <f t="shared" si="12"/>
        <v>Monday</v>
      </c>
      <c r="I127" s="22">
        <v>0.84723379629629625</v>
      </c>
      <c r="J127" s="24">
        <f t="shared" si="13"/>
        <v>20</v>
      </c>
      <c r="K127" s="24">
        <f t="shared" si="14"/>
        <v>20</v>
      </c>
      <c r="L127" s="24">
        <f t="shared" si="15"/>
        <v>1</v>
      </c>
      <c r="M127" t="s">
        <v>33</v>
      </c>
      <c r="N127" t="s">
        <v>34</v>
      </c>
      <c r="O127" s="24">
        <v>8</v>
      </c>
      <c r="P127" s="11">
        <v>391.16</v>
      </c>
      <c r="Q127" s="26">
        <f>VLOOKUP('Prepared Sales Dataset'!M127,'Product-cost'!A:B,2,FALSE)</f>
        <v>200</v>
      </c>
      <c r="R127" t="s">
        <v>42</v>
      </c>
      <c r="S127" t="s">
        <v>100</v>
      </c>
      <c r="T127" t="s">
        <v>249</v>
      </c>
      <c r="U127" t="s">
        <v>921</v>
      </c>
      <c r="V127" s="17">
        <f>P127*O127</f>
        <v>3129.28</v>
      </c>
      <c r="W127" s="19">
        <f>O127*Q127</f>
        <v>1600</v>
      </c>
      <c r="X127" s="13">
        <f>VLOOKUP(R127,Taxrate!A:B,2,FALSE)</f>
        <v>0.15</v>
      </c>
      <c r="Y127" s="15">
        <f t="shared" si="16"/>
        <v>469.392</v>
      </c>
      <c r="Z127" s="9">
        <f>VLOOKUP(M127,'Discount Rate'!A:B,2,FALSE)</f>
        <v>0.08</v>
      </c>
      <c r="AA127" s="11">
        <f t="shared" si="17"/>
        <v>250.34240000000003</v>
      </c>
      <c r="AB127" s="15">
        <f t="shared" si="18"/>
        <v>2409.5456000000004</v>
      </c>
      <c r="AC127" s="15">
        <f t="shared" si="19"/>
        <v>809.54560000000038</v>
      </c>
    </row>
    <row r="128" spans="1:29" x14ac:dyDescent="0.35">
      <c r="A128" t="s">
        <v>356</v>
      </c>
      <c r="B128" t="s">
        <v>357</v>
      </c>
      <c r="C128" t="s">
        <v>70</v>
      </c>
      <c r="D128" t="s">
        <v>71</v>
      </c>
      <c r="E128" s="1">
        <v>45242</v>
      </c>
      <c r="F128" s="24">
        <f t="shared" si="10"/>
        <v>2023</v>
      </c>
      <c r="G128" s="24" t="str">
        <f t="shared" si="11"/>
        <v>November</v>
      </c>
      <c r="H128" s="24" t="str">
        <f t="shared" si="12"/>
        <v>Sunday</v>
      </c>
      <c r="I128" s="22">
        <v>0.82685185185185184</v>
      </c>
      <c r="J128" s="24">
        <f t="shared" si="13"/>
        <v>19</v>
      </c>
      <c r="K128" s="24">
        <f t="shared" si="14"/>
        <v>50</v>
      </c>
      <c r="L128" s="24">
        <f t="shared" si="15"/>
        <v>40</v>
      </c>
      <c r="M128" t="s">
        <v>26</v>
      </c>
      <c r="N128" t="s">
        <v>27</v>
      </c>
      <c r="O128" s="24">
        <v>6</v>
      </c>
      <c r="P128" s="11">
        <v>507.46</v>
      </c>
      <c r="Q128" s="26">
        <f>VLOOKUP('Prepared Sales Dataset'!M128,'Product-cost'!A:B,2,FALSE)</f>
        <v>300</v>
      </c>
      <c r="R128" t="s">
        <v>28</v>
      </c>
      <c r="S128" t="s">
        <v>73</v>
      </c>
      <c r="T128" t="s">
        <v>249</v>
      </c>
      <c r="U128" t="s">
        <v>921</v>
      </c>
      <c r="V128" s="17">
        <f>P128*O128</f>
        <v>3044.7599999999998</v>
      </c>
      <c r="W128" s="19">
        <f>O128*Q128</f>
        <v>1800</v>
      </c>
      <c r="X128" s="13">
        <f>VLOOKUP(R128,Taxrate!A:B,2,FALSE)</f>
        <v>0.1</v>
      </c>
      <c r="Y128" s="15">
        <f t="shared" si="16"/>
        <v>304.476</v>
      </c>
      <c r="Z128" s="9">
        <f>VLOOKUP(M128,'Discount Rate'!A:B,2,FALSE)</f>
        <v>0.1</v>
      </c>
      <c r="AA128" s="11">
        <f t="shared" si="17"/>
        <v>304.476</v>
      </c>
      <c r="AB128" s="15">
        <f t="shared" si="18"/>
        <v>2435.808</v>
      </c>
      <c r="AC128" s="15">
        <f t="shared" si="19"/>
        <v>635.80799999999999</v>
      </c>
    </row>
    <row r="129" spans="1:29" x14ac:dyDescent="0.35">
      <c r="A129" t="s">
        <v>358</v>
      </c>
      <c r="B129" t="s">
        <v>189</v>
      </c>
      <c r="C129" t="s">
        <v>15</v>
      </c>
      <c r="D129" t="s">
        <v>16</v>
      </c>
      <c r="E129" s="1">
        <v>45110</v>
      </c>
      <c r="F129" s="24">
        <f t="shared" si="10"/>
        <v>2023</v>
      </c>
      <c r="G129" s="24" t="str">
        <f t="shared" si="11"/>
        <v>July</v>
      </c>
      <c r="H129" s="24" t="str">
        <f t="shared" si="12"/>
        <v>Monday</v>
      </c>
      <c r="I129" s="22">
        <v>0.67057870370370365</v>
      </c>
      <c r="J129" s="24">
        <f t="shared" si="13"/>
        <v>16</v>
      </c>
      <c r="K129" s="24">
        <f t="shared" si="14"/>
        <v>5</v>
      </c>
      <c r="L129" s="24">
        <f t="shared" si="15"/>
        <v>38</v>
      </c>
      <c r="M129" t="s">
        <v>49</v>
      </c>
      <c r="N129" t="s">
        <v>50</v>
      </c>
      <c r="O129" s="24">
        <v>14</v>
      </c>
      <c r="P129" s="11">
        <v>208.1</v>
      </c>
      <c r="Q129" s="26">
        <f>VLOOKUP('Prepared Sales Dataset'!M129,'Product-cost'!A:B,2,FALSE)</f>
        <v>150</v>
      </c>
      <c r="R129" t="s">
        <v>42</v>
      </c>
      <c r="S129" t="s">
        <v>20</v>
      </c>
      <c r="T129" t="s">
        <v>44</v>
      </c>
      <c r="U129" t="s">
        <v>921</v>
      </c>
      <c r="V129" s="17">
        <f>P129*O129</f>
        <v>2913.4</v>
      </c>
      <c r="W129" s="19">
        <f>O129*Q129</f>
        <v>2100</v>
      </c>
      <c r="X129" s="13">
        <f>VLOOKUP(R129,Taxrate!A:B,2,FALSE)</f>
        <v>0.15</v>
      </c>
      <c r="Y129" s="15">
        <f t="shared" si="16"/>
        <v>437.01</v>
      </c>
      <c r="Z129" s="9">
        <f>VLOOKUP(M129,'Discount Rate'!A:B,2,FALSE)</f>
        <v>7.0000000000000007E-2</v>
      </c>
      <c r="AA129" s="11">
        <f t="shared" si="17"/>
        <v>203.93800000000002</v>
      </c>
      <c r="AB129" s="15">
        <f t="shared" si="18"/>
        <v>2272.4520000000002</v>
      </c>
      <c r="AC129" s="15">
        <f t="shared" si="19"/>
        <v>172.45200000000023</v>
      </c>
    </row>
    <row r="130" spans="1:29" x14ac:dyDescent="0.35">
      <c r="A130" t="s">
        <v>359</v>
      </c>
      <c r="B130" t="s">
        <v>360</v>
      </c>
      <c r="C130" t="s">
        <v>205</v>
      </c>
      <c r="D130" t="s">
        <v>170</v>
      </c>
      <c r="E130" s="1">
        <v>45476</v>
      </c>
      <c r="F130" s="24">
        <f t="shared" ref="F130:F193" si="20">YEAR(E130)</f>
        <v>2024</v>
      </c>
      <c r="G130" s="24" t="str">
        <f t="shared" si="11"/>
        <v>July</v>
      </c>
      <c r="H130" s="24" t="str">
        <f t="shared" si="12"/>
        <v>Wednesday</v>
      </c>
      <c r="I130" s="22">
        <v>0.41956018518518517</v>
      </c>
      <c r="J130" s="24">
        <f t="shared" si="13"/>
        <v>10</v>
      </c>
      <c r="K130" s="24">
        <f t="shared" si="14"/>
        <v>4</v>
      </c>
      <c r="L130" s="24">
        <f t="shared" si="15"/>
        <v>10</v>
      </c>
      <c r="M130" t="s">
        <v>78</v>
      </c>
      <c r="N130" t="s">
        <v>79</v>
      </c>
      <c r="O130" s="24">
        <v>5</v>
      </c>
      <c r="P130" s="11">
        <v>125.77</v>
      </c>
      <c r="Q130" s="26">
        <f>VLOOKUP('Prepared Sales Dataset'!M130,'Product-cost'!A:B,2,FALSE)</f>
        <v>50</v>
      </c>
      <c r="R130" t="s">
        <v>28</v>
      </c>
      <c r="S130" t="s">
        <v>171</v>
      </c>
      <c r="T130" t="s">
        <v>74</v>
      </c>
      <c r="U130" t="s">
        <v>922</v>
      </c>
      <c r="V130" s="17">
        <f>P130*O130</f>
        <v>628.85</v>
      </c>
      <c r="W130" s="19">
        <f>O130*Q130</f>
        <v>250</v>
      </c>
      <c r="X130" s="13">
        <f>VLOOKUP(R130,Taxrate!A:B,2,FALSE)</f>
        <v>0.1</v>
      </c>
      <c r="Y130" s="15">
        <f t="shared" si="16"/>
        <v>62.885000000000005</v>
      </c>
      <c r="Z130" s="9">
        <f>VLOOKUP(M130,'Discount Rate'!A:B,2,FALSE)</f>
        <v>0.03</v>
      </c>
      <c r="AA130" s="11">
        <f t="shared" si="17"/>
        <v>18.865500000000001</v>
      </c>
      <c r="AB130" s="15">
        <f t="shared" si="18"/>
        <v>547.09950000000003</v>
      </c>
      <c r="AC130" s="15">
        <f t="shared" si="19"/>
        <v>297.09950000000003</v>
      </c>
    </row>
    <row r="131" spans="1:29" x14ac:dyDescent="0.35">
      <c r="A131" t="s">
        <v>361</v>
      </c>
      <c r="B131" t="s">
        <v>362</v>
      </c>
      <c r="C131" t="s">
        <v>88</v>
      </c>
      <c r="D131" t="s">
        <v>41</v>
      </c>
      <c r="E131" s="1">
        <v>45705</v>
      </c>
      <c r="F131" s="24">
        <f t="shared" si="20"/>
        <v>2025</v>
      </c>
      <c r="G131" s="24" t="str">
        <f t="shared" ref="G131:G194" si="21">TEXT(E131,"mmmm")</f>
        <v>February</v>
      </c>
      <c r="H131" s="24" t="str">
        <f t="shared" ref="H131:H194" si="22">TEXT(E131,"dddd")</f>
        <v>Monday</v>
      </c>
      <c r="I131" s="22">
        <v>0.63989583333333333</v>
      </c>
      <c r="J131" s="24">
        <f t="shared" ref="J131:J194" si="23">HOUR(I131)</f>
        <v>15</v>
      </c>
      <c r="K131" s="24">
        <f t="shared" ref="K131:K194" si="24">MINUTE(I131)</f>
        <v>21</v>
      </c>
      <c r="L131" s="24">
        <f t="shared" ref="L131:L194" si="25">SECOND(I131)</f>
        <v>27</v>
      </c>
      <c r="M131" t="s">
        <v>49</v>
      </c>
      <c r="N131" t="s">
        <v>50</v>
      </c>
      <c r="O131" s="24">
        <v>6</v>
      </c>
      <c r="P131" s="11">
        <v>252.48</v>
      </c>
      <c r="Q131" s="26">
        <f>VLOOKUP('Prepared Sales Dataset'!M131,'Product-cost'!A:B,2,FALSE)</f>
        <v>150</v>
      </c>
      <c r="R131" t="s">
        <v>42</v>
      </c>
      <c r="S131" t="s">
        <v>43</v>
      </c>
      <c r="U131" t="s">
        <v>923</v>
      </c>
      <c r="V131" s="17">
        <f>P131*O131</f>
        <v>1514.8799999999999</v>
      </c>
      <c r="W131" s="19">
        <f>O131*Q131</f>
        <v>900</v>
      </c>
      <c r="X131" s="13">
        <f>VLOOKUP(R131,Taxrate!A:B,2,FALSE)</f>
        <v>0.15</v>
      </c>
      <c r="Y131" s="15">
        <f t="shared" ref="Y131:Y194" si="26">V131*X131</f>
        <v>227.23199999999997</v>
      </c>
      <c r="Z131" s="9">
        <f>VLOOKUP(M131,'Discount Rate'!A:B,2,FALSE)</f>
        <v>7.0000000000000007E-2</v>
      </c>
      <c r="AA131" s="11">
        <f t="shared" ref="AA131:AA194" si="27">V131*Z131</f>
        <v>106.0416</v>
      </c>
      <c r="AB131" s="15">
        <f t="shared" ref="AB131:AB194" si="28">V131-(Y131+AA131)</f>
        <v>1181.6063999999999</v>
      </c>
      <c r="AC131" s="15">
        <f t="shared" ref="AC131:AC194" si="29">AB131-W131</f>
        <v>281.60639999999989</v>
      </c>
    </row>
    <row r="132" spans="1:29" x14ac:dyDescent="0.35">
      <c r="A132" t="s">
        <v>363</v>
      </c>
      <c r="B132" t="s">
        <v>364</v>
      </c>
      <c r="C132" t="s">
        <v>24</v>
      </c>
      <c r="D132" t="s">
        <v>25</v>
      </c>
      <c r="E132" s="1">
        <v>45697</v>
      </c>
      <c r="F132" s="24">
        <f t="shared" si="20"/>
        <v>2025</v>
      </c>
      <c r="G132" s="24" t="str">
        <f t="shared" si="21"/>
        <v>February</v>
      </c>
      <c r="H132" s="24" t="str">
        <f t="shared" si="22"/>
        <v>Sunday</v>
      </c>
      <c r="I132" s="22">
        <v>0.91001157407407407</v>
      </c>
      <c r="J132" s="24">
        <f t="shared" si="23"/>
        <v>21</v>
      </c>
      <c r="K132" s="24">
        <f t="shared" si="24"/>
        <v>50</v>
      </c>
      <c r="L132" s="24">
        <f t="shared" si="25"/>
        <v>25</v>
      </c>
      <c r="M132" t="s">
        <v>33</v>
      </c>
      <c r="N132" t="s">
        <v>34</v>
      </c>
      <c r="O132" s="24">
        <v>10</v>
      </c>
      <c r="P132" s="11">
        <v>519.45000000000005</v>
      </c>
      <c r="Q132" s="26">
        <f>VLOOKUP('Prepared Sales Dataset'!M132,'Product-cost'!A:B,2,FALSE)</f>
        <v>200</v>
      </c>
      <c r="R132" t="s">
        <v>35</v>
      </c>
      <c r="S132" t="s">
        <v>29</v>
      </c>
      <c r="T132" t="s">
        <v>95</v>
      </c>
      <c r="U132" t="s">
        <v>921</v>
      </c>
      <c r="V132" s="17">
        <f>P132*O132</f>
        <v>5194.5</v>
      </c>
      <c r="W132" s="19">
        <f>O132*Q132</f>
        <v>2000</v>
      </c>
      <c r="X132" s="13">
        <f>VLOOKUP(R132,Taxrate!A:B,2,FALSE)</f>
        <v>0.2</v>
      </c>
      <c r="Y132" s="15">
        <f t="shared" si="26"/>
        <v>1038.9000000000001</v>
      </c>
      <c r="Z132" s="9">
        <f>VLOOKUP(M132,'Discount Rate'!A:B,2,FALSE)</f>
        <v>0.08</v>
      </c>
      <c r="AA132" s="11">
        <f t="shared" si="27"/>
        <v>415.56</v>
      </c>
      <c r="AB132" s="15">
        <f t="shared" si="28"/>
        <v>3740.04</v>
      </c>
      <c r="AC132" s="15">
        <f t="shared" si="29"/>
        <v>1740.04</v>
      </c>
    </row>
    <row r="133" spans="1:29" x14ac:dyDescent="0.35">
      <c r="A133" t="s">
        <v>365</v>
      </c>
      <c r="B133" t="s">
        <v>366</v>
      </c>
      <c r="C133" t="s">
        <v>70</v>
      </c>
      <c r="D133" t="s">
        <v>71</v>
      </c>
      <c r="E133" s="1">
        <v>46305</v>
      </c>
      <c r="F133" s="24">
        <f t="shared" si="20"/>
        <v>2026</v>
      </c>
      <c r="G133" s="24" t="str">
        <f t="shared" si="21"/>
        <v>October</v>
      </c>
      <c r="H133" s="24" t="str">
        <f t="shared" si="22"/>
        <v>Saturday</v>
      </c>
      <c r="I133" s="22">
        <v>0.44466435185185182</v>
      </c>
      <c r="J133" s="24">
        <f t="shared" si="23"/>
        <v>10</v>
      </c>
      <c r="K133" s="24">
        <f t="shared" si="24"/>
        <v>40</v>
      </c>
      <c r="L133" s="24">
        <f t="shared" si="25"/>
        <v>19</v>
      </c>
      <c r="M133" t="s">
        <v>26</v>
      </c>
      <c r="N133" t="s">
        <v>27</v>
      </c>
      <c r="O133" s="24">
        <v>3</v>
      </c>
      <c r="P133" s="11">
        <v>716.72</v>
      </c>
      <c r="Q133" s="26">
        <f>VLOOKUP('Prepared Sales Dataset'!M133,'Product-cost'!A:B,2,FALSE)</f>
        <v>300</v>
      </c>
      <c r="R133" t="s">
        <v>55</v>
      </c>
      <c r="S133" t="s">
        <v>73</v>
      </c>
      <c r="T133" t="s">
        <v>172</v>
      </c>
      <c r="U133" t="s">
        <v>921</v>
      </c>
      <c r="V133" s="17">
        <f>P133*O133</f>
        <v>2150.16</v>
      </c>
      <c r="W133" s="19">
        <f>O133*Q133</f>
        <v>900</v>
      </c>
      <c r="X133" s="13">
        <f>VLOOKUP(R133,Taxrate!A:B,2,FALSE)</f>
        <v>7.0000000000000007E-2</v>
      </c>
      <c r="Y133" s="15">
        <f t="shared" si="26"/>
        <v>150.5112</v>
      </c>
      <c r="Z133" s="9">
        <f>VLOOKUP(M133,'Discount Rate'!A:B,2,FALSE)</f>
        <v>0.1</v>
      </c>
      <c r="AA133" s="11">
        <f t="shared" si="27"/>
        <v>215.01599999999999</v>
      </c>
      <c r="AB133" s="15">
        <f t="shared" si="28"/>
        <v>1784.6327999999999</v>
      </c>
      <c r="AC133" s="15">
        <f t="shared" si="29"/>
        <v>884.63279999999986</v>
      </c>
    </row>
    <row r="134" spans="1:29" x14ac:dyDescent="0.35">
      <c r="A134" t="s">
        <v>367</v>
      </c>
      <c r="B134" t="s">
        <v>368</v>
      </c>
      <c r="C134" t="s">
        <v>40</v>
      </c>
      <c r="D134" t="s">
        <v>41</v>
      </c>
      <c r="E134" s="1">
        <v>45150</v>
      </c>
      <c r="F134" s="24">
        <f t="shared" si="20"/>
        <v>2023</v>
      </c>
      <c r="G134" s="24" t="str">
        <f t="shared" si="21"/>
        <v>August</v>
      </c>
      <c r="H134" s="24" t="str">
        <f t="shared" si="22"/>
        <v>Saturday</v>
      </c>
      <c r="I134" s="22">
        <v>0.77942129629629631</v>
      </c>
      <c r="J134" s="24">
        <f t="shared" si="23"/>
        <v>18</v>
      </c>
      <c r="K134" s="24">
        <f t="shared" si="24"/>
        <v>42</v>
      </c>
      <c r="L134" s="24">
        <f t="shared" si="25"/>
        <v>22</v>
      </c>
      <c r="M134" t="s">
        <v>26</v>
      </c>
      <c r="N134" t="s">
        <v>27</v>
      </c>
      <c r="O134" s="24">
        <v>1</v>
      </c>
      <c r="P134" s="11">
        <v>673.51</v>
      </c>
      <c r="Q134" s="26">
        <f>VLOOKUP('Prepared Sales Dataset'!M134,'Product-cost'!A:B,2,FALSE)</f>
        <v>300</v>
      </c>
      <c r="R134" t="s">
        <v>42</v>
      </c>
      <c r="S134" t="s">
        <v>90</v>
      </c>
      <c r="U134" t="s">
        <v>923</v>
      </c>
      <c r="V134" s="17">
        <f>P134*O134</f>
        <v>673.51</v>
      </c>
      <c r="W134" s="19">
        <f>O134*Q134</f>
        <v>300</v>
      </c>
      <c r="X134" s="13">
        <f>VLOOKUP(R134,Taxrate!A:B,2,FALSE)</f>
        <v>0.15</v>
      </c>
      <c r="Y134" s="15">
        <f t="shared" si="26"/>
        <v>101.0265</v>
      </c>
      <c r="Z134" s="9">
        <f>VLOOKUP(M134,'Discount Rate'!A:B,2,FALSE)</f>
        <v>0.1</v>
      </c>
      <c r="AA134" s="11">
        <f t="shared" si="27"/>
        <v>67.350999999999999</v>
      </c>
      <c r="AB134" s="15">
        <f t="shared" si="28"/>
        <v>505.13249999999999</v>
      </c>
      <c r="AC134" s="15">
        <f t="shared" si="29"/>
        <v>205.13249999999999</v>
      </c>
    </row>
    <row r="135" spans="1:29" x14ac:dyDescent="0.35">
      <c r="A135" t="s">
        <v>369</v>
      </c>
      <c r="B135" t="s">
        <v>370</v>
      </c>
      <c r="C135" t="s">
        <v>67</v>
      </c>
      <c r="D135" t="s">
        <v>16</v>
      </c>
      <c r="E135" s="1">
        <v>45839</v>
      </c>
      <c r="F135" s="24">
        <f t="shared" si="20"/>
        <v>2025</v>
      </c>
      <c r="G135" s="24" t="str">
        <f t="shared" si="21"/>
        <v>July</v>
      </c>
      <c r="H135" s="24" t="str">
        <f t="shared" si="22"/>
        <v>Tuesday</v>
      </c>
      <c r="I135" s="22">
        <v>0.60403935185185187</v>
      </c>
      <c r="J135" s="24">
        <f t="shared" si="23"/>
        <v>14</v>
      </c>
      <c r="K135" s="24">
        <f t="shared" si="24"/>
        <v>29</v>
      </c>
      <c r="L135" s="24">
        <f t="shared" si="25"/>
        <v>49</v>
      </c>
      <c r="M135" t="s">
        <v>49</v>
      </c>
      <c r="N135" t="s">
        <v>50</v>
      </c>
      <c r="O135" s="24">
        <v>3</v>
      </c>
      <c r="P135" s="11">
        <v>178.7</v>
      </c>
      <c r="Q135" s="26">
        <f>VLOOKUP('Prepared Sales Dataset'!M135,'Product-cost'!A:B,2,FALSE)</f>
        <v>150</v>
      </c>
      <c r="R135" t="s">
        <v>55</v>
      </c>
      <c r="S135" t="s">
        <v>36</v>
      </c>
      <c r="T135" t="s">
        <v>109</v>
      </c>
      <c r="U135" t="s">
        <v>923</v>
      </c>
      <c r="V135" s="17">
        <f>P135*O135</f>
        <v>536.09999999999991</v>
      </c>
      <c r="W135" s="19">
        <f>O135*Q135</f>
        <v>450</v>
      </c>
      <c r="X135" s="13">
        <f>VLOOKUP(R135,Taxrate!A:B,2,FALSE)</f>
        <v>7.0000000000000007E-2</v>
      </c>
      <c r="Y135" s="15">
        <f t="shared" si="26"/>
        <v>37.526999999999994</v>
      </c>
      <c r="Z135" s="9">
        <f>VLOOKUP(M135,'Discount Rate'!A:B,2,FALSE)</f>
        <v>7.0000000000000007E-2</v>
      </c>
      <c r="AA135" s="11">
        <f t="shared" si="27"/>
        <v>37.526999999999994</v>
      </c>
      <c r="AB135" s="15">
        <f t="shared" si="28"/>
        <v>461.04599999999994</v>
      </c>
      <c r="AC135" s="15">
        <f t="shared" si="29"/>
        <v>11.045999999999935</v>
      </c>
    </row>
    <row r="136" spans="1:29" x14ac:dyDescent="0.35">
      <c r="A136" t="s">
        <v>371</v>
      </c>
      <c r="B136" t="s">
        <v>372</v>
      </c>
      <c r="C136" t="s">
        <v>77</v>
      </c>
      <c r="D136" t="s">
        <v>63</v>
      </c>
      <c r="E136" s="1">
        <v>45902</v>
      </c>
      <c r="F136" s="24">
        <f t="shared" si="20"/>
        <v>2025</v>
      </c>
      <c r="G136" s="24" t="str">
        <f t="shared" si="21"/>
        <v>September</v>
      </c>
      <c r="H136" s="24" t="str">
        <f t="shared" si="22"/>
        <v>Tuesday</v>
      </c>
      <c r="I136" s="22">
        <v>0.65745370370370371</v>
      </c>
      <c r="J136" s="24">
        <f t="shared" si="23"/>
        <v>15</v>
      </c>
      <c r="K136" s="24">
        <f t="shared" si="24"/>
        <v>46</v>
      </c>
      <c r="L136" s="24">
        <f t="shared" si="25"/>
        <v>44</v>
      </c>
      <c r="M136" t="s">
        <v>78</v>
      </c>
      <c r="N136" t="s">
        <v>79</v>
      </c>
      <c r="O136" s="24">
        <v>5</v>
      </c>
      <c r="P136" s="11">
        <v>506</v>
      </c>
      <c r="Q136" s="26">
        <f>VLOOKUP('Prepared Sales Dataset'!M136,'Product-cost'!A:B,2,FALSE)</f>
        <v>50</v>
      </c>
      <c r="R136" t="s">
        <v>55</v>
      </c>
      <c r="S136" t="s">
        <v>241</v>
      </c>
      <c r="T136" t="s">
        <v>125</v>
      </c>
      <c r="U136" t="s">
        <v>921</v>
      </c>
      <c r="V136" s="17">
        <f>P136*O136</f>
        <v>2530</v>
      </c>
      <c r="W136" s="19">
        <f>O136*Q136</f>
        <v>250</v>
      </c>
      <c r="X136" s="13">
        <f>VLOOKUP(R136,Taxrate!A:B,2,FALSE)</f>
        <v>7.0000000000000007E-2</v>
      </c>
      <c r="Y136" s="15">
        <f t="shared" si="26"/>
        <v>177.10000000000002</v>
      </c>
      <c r="Z136" s="9">
        <f>VLOOKUP(M136,'Discount Rate'!A:B,2,FALSE)</f>
        <v>0.03</v>
      </c>
      <c r="AA136" s="11">
        <f t="shared" si="27"/>
        <v>75.899999999999991</v>
      </c>
      <c r="AB136" s="15">
        <f t="shared" si="28"/>
        <v>2277</v>
      </c>
      <c r="AC136" s="15">
        <f t="shared" si="29"/>
        <v>2027</v>
      </c>
    </row>
    <row r="137" spans="1:29" x14ac:dyDescent="0.35">
      <c r="A137" t="s">
        <v>373</v>
      </c>
      <c r="B137" t="s">
        <v>374</v>
      </c>
      <c r="C137" t="s">
        <v>62</v>
      </c>
      <c r="D137" t="s">
        <v>63</v>
      </c>
      <c r="E137" s="1">
        <v>46073</v>
      </c>
      <c r="F137" s="24">
        <f t="shared" si="20"/>
        <v>2026</v>
      </c>
      <c r="G137" s="24" t="str">
        <f t="shared" si="21"/>
        <v>February</v>
      </c>
      <c r="H137" s="24" t="str">
        <f t="shared" si="22"/>
        <v>Friday</v>
      </c>
      <c r="I137" s="22">
        <v>0.63531249999999995</v>
      </c>
      <c r="J137" s="24">
        <f t="shared" si="23"/>
        <v>15</v>
      </c>
      <c r="K137" s="24">
        <f t="shared" si="24"/>
        <v>14</v>
      </c>
      <c r="L137" s="24">
        <f t="shared" si="25"/>
        <v>51</v>
      </c>
      <c r="M137" t="s">
        <v>78</v>
      </c>
      <c r="N137" t="s">
        <v>79</v>
      </c>
      <c r="O137" s="24">
        <v>3</v>
      </c>
      <c r="P137" s="11">
        <v>152.41</v>
      </c>
      <c r="Q137" s="26">
        <f>VLOOKUP('Prepared Sales Dataset'!M137,'Product-cost'!A:B,2,FALSE)</f>
        <v>50</v>
      </c>
      <c r="R137" t="s">
        <v>55</v>
      </c>
      <c r="S137" t="s">
        <v>80</v>
      </c>
      <c r="T137" t="s">
        <v>231</v>
      </c>
      <c r="U137" t="s">
        <v>922</v>
      </c>
      <c r="V137" s="17">
        <f>P137*O137</f>
        <v>457.23</v>
      </c>
      <c r="W137" s="19">
        <f>O137*Q137</f>
        <v>150</v>
      </c>
      <c r="X137" s="13">
        <f>VLOOKUP(R137,Taxrate!A:B,2,FALSE)</f>
        <v>7.0000000000000007E-2</v>
      </c>
      <c r="Y137" s="15">
        <f t="shared" si="26"/>
        <v>32.006100000000004</v>
      </c>
      <c r="Z137" s="9">
        <f>VLOOKUP(M137,'Discount Rate'!A:B,2,FALSE)</f>
        <v>0.03</v>
      </c>
      <c r="AA137" s="11">
        <f t="shared" si="27"/>
        <v>13.716900000000001</v>
      </c>
      <c r="AB137" s="15">
        <f t="shared" si="28"/>
        <v>411.50700000000001</v>
      </c>
      <c r="AC137" s="15">
        <f t="shared" si="29"/>
        <v>261.50700000000001</v>
      </c>
    </row>
    <row r="138" spans="1:29" x14ac:dyDescent="0.35">
      <c r="A138" t="s">
        <v>375</v>
      </c>
      <c r="B138" t="s">
        <v>376</v>
      </c>
      <c r="C138" t="s">
        <v>70</v>
      </c>
      <c r="D138" t="s">
        <v>71</v>
      </c>
      <c r="E138" s="1">
        <v>46026</v>
      </c>
      <c r="F138" s="24">
        <f t="shared" si="20"/>
        <v>2026</v>
      </c>
      <c r="G138" s="24" t="str">
        <f t="shared" si="21"/>
        <v>January</v>
      </c>
      <c r="H138" s="24" t="str">
        <f t="shared" si="22"/>
        <v>Sunday</v>
      </c>
      <c r="I138" s="22">
        <v>0.55569444444444449</v>
      </c>
      <c r="J138" s="24">
        <f t="shared" si="23"/>
        <v>13</v>
      </c>
      <c r="K138" s="24">
        <f t="shared" si="24"/>
        <v>20</v>
      </c>
      <c r="L138" s="24">
        <f t="shared" si="25"/>
        <v>12</v>
      </c>
      <c r="M138" t="s">
        <v>78</v>
      </c>
      <c r="N138" t="s">
        <v>79</v>
      </c>
      <c r="O138" s="24">
        <v>11</v>
      </c>
      <c r="P138" s="11">
        <v>159.58000000000001</v>
      </c>
      <c r="Q138" s="26">
        <f>VLOOKUP('Prepared Sales Dataset'!M138,'Product-cost'!A:B,2,FALSE)</f>
        <v>50</v>
      </c>
      <c r="R138" t="s">
        <v>28</v>
      </c>
      <c r="S138" t="s">
        <v>190</v>
      </c>
      <c r="T138" t="s">
        <v>30</v>
      </c>
      <c r="U138" t="s">
        <v>921</v>
      </c>
      <c r="V138" s="17">
        <f>P138*O138</f>
        <v>1755.38</v>
      </c>
      <c r="W138" s="19">
        <f>O138*Q138</f>
        <v>550</v>
      </c>
      <c r="X138" s="13">
        <f>VLOOKUP(R138,Taxrate!A:B,2,FALSE)</f>
        <v>0.1</v>
      </c>
      <c r="Y138" s="15">
        <f t="shared" si="26"/>
        <v>175.53800000000001</v>
      </c>
      <c r="Z138" s="9">
        <f>VLOOKUP(M138,'Discount Rate'!A:B,2,FALSE)</f>
        <v>0.03</v>
      </c>
      <c r="AA138" s="11">
        <f t="shared" si="27"/>
        <v>52.6614</v>
      </c>
      <c r="AB138" s="15">
        <f t="shared" si="28"/>
        <v>1527.1806000000001</v>
      </c>
      <c r="AC138" s="15">
        <f t="shared" si="29"/>
        <v>977.18060000000014</v>
      </c>
    </row>
    <row r="139" spans="1:29" x14ac:dyDescent="0.35">
      <c r="A139" t="s">
        <v>377</v>
      </c>
      <c r="B139" t="s">
        <v>378</v>
      </c>
      <c r="C139" t="s">
        <v>128</v>
      </c>
      <c r="D139" t="s">
        <v>63</v>
      </c>
      <c r="E139" s="1">
        <v>46303</v>
      </c>
      <c r="F139" s="24">
        <f t="shared" si="20"/>
        <v>2026</v>
      </c>
      <c r="G139" s="24" t="str">
        <f t="shared" si="21"/>
        <v>October</v>
      </c>
      <c r="H139" s="24" t="str">
        <f t="shared" si="22"/>
        <v>Thursday</v>
      </c>
      <c r="I139" s="22">
        <v>0.54670138888888886</v>
      </c>
      <c r="J139" s="24">
        <f t="shared" si="23"/>
        <v>13</v>
      </c>
      <c r="K139" s="24">
        <f t="shared" si="24"/>
        <v>7</v>
      </c>
      <c r="L139" s="24">
        <f t="shared" si="25"/>
        <v>15</v>
      </c>
      <c r="M139" t="s">
        <v>33</v>
      </c>
      <c r="N139" t="s">
        <v>34</v>
      </c>
      <c r="O139" s="24">
        <v>6</v>
      </c>
      <c r="P139" s="11">
        <v>422.16</v>
      </c>
      <c r="Q139" s="26">
        <f>VLOOKUP('Prepared Sales Dataset'!M139,'Product-cost'!A:B,2,FALSE)</f>
        <v>200</v>
      </c>
      <c r="R139" t="s">
        <v>42</v>
      </c>
      <c r="S139" t="s">
        <v>241</v>
      </c>
      <c r="T139" t="s">
        <v>103</v>
      </c>
      <c r="U139" t="s">
        <v>921</v>
      </c>
      <c r="V139" s="17">
        <f>P139*O139</f>
        <v>2532.96</v>
      </c>
      <c r="W139" s="19">
        <f>O139*Q139</f>
        <v>1200</v>
      </c>
      <c r="X139" s="13">
        <f>VLOOKUP(R139,Taxrate!A:B,2,FALSE)</f>
        <v>0.15</v>
      </c>
      <c r="Y139" s="15">
        <f t="shared" si="26"/>
        <v>379.94400000000002</v>
      </c>
      <c r="Z139" s="9">
        <f>VLOOKUP(M139,'Discount Rate'!A:B,2,FALSE)</f>
        <v>0.08</v>
      </c>
      <c r="AA139" s="11">
        <f t="shared" si="27"/>
        <v>202.63679999999999</v>
      </c>
      <c r="AB139" s="15">
        <f t="shared" si="28"/>
        <v>1950.3792000000001</v>
      </c>
      <c r="AC139" s="15">
        <f t="shared" si="29"/>
        <v>750.37920000000008</v>
      </c>
    </row>
    <row r="140" spans="1:29" x14ac:dyDescent="0.35">
      <c r="A140" t="s">
        <v>379</v>
      </c>
      <c r="B140" t="s">
        <v>380</v>
      </c>
      <c r="C140" t="s">
        <v>67</v>
      </c>
      <c r="D140" t="s">
        <v>16</v>
      </c>
      <c r="E140" s="1">
        <v>45929</v>
      </c>
      <c r="F140" s="24">
        <f t="shared" si="20"/>
        <v>2025</v>
      </c>
      <c r="G140" s="24" t="str">
        <f t="shared" si="21"/>
        <v>September</v>
      </c>
      <c r="H140" s="24" t="str">
        <f t="shared" si="22"/>
        <v>Monday</v>
      </c>
      <c r="I140" s="22">
        <v>0.42453703703703705</v>
      </c>
      <c r="J140" s="24">
        <f t="shared" si="23"/>
        <v>10</v>
      </c>
      <c r="K140" s="24">
        <f t="shared" si="24"/>
        <v>11</v>
      </c>
      <c r="L140" s="24">
        <f t="shared" si="25"/>
        <v>20</v>
      </c>
      <c r="M140" t="s">
        <v>78</v>
      </c>
      <c r="N140" t="s">
        <v>79</v>
      </c>
      <c r="O140" s="24">
        <v>14</v>
      </c>
      <c r="P140" s="11">
        <v>120.72</v>
      </c>
      <c r="Q140" s="26">
        <f>VLOOKUP('Prepared Sales Dataset'!M140,'Product-cost'!A:B,2,FALSE)</f>
        <v>50</v>
      </c>
      <c r="R140" t="s">
        <v>35</v>
      </c>
      <c r="S140" t="s">
        <v>36</v>
      </c>
      <c r="T140" t="s">
        <v>103</v>
      </c>
      <c r="U140" t="s">
        <v>921</v>
      </c>
      <c r="V140" s="17">
        <f>P140*O140</f>
        <v>1690.08</v>
      </c>
      <c r="W140" s="19">
        <f>O140*Q140</f>
        <v>700</v>
      </c>
      <c r="X140" s="13">
        <f>VLOOKUP(R140,Taxrate!A:B,2,FALSE)</f>
        <v>0.2</v>
      </c>
      <c r="Y140" s="15">
        <f t="shared" si="26"/>
        <v>338.01600000000002</v>
      </c>
      <c r="Z140" s="9">
        <f>VLOOKUP(M140,'Discount Rate'!A:B,2,FALSE)</f>
        <v>0.03</v>
      </c>
      <c r="AA140" s="11">
        <f t="shared" si="27"/>
        <v>50.702399999999997</v>
      </c>
      <c r="AB140" s="15">
        <f t="shared" si="28"/>
        <v>1301.3616</v>
      </c>
      <c r="AC140" s="15">
        <f t="shared" si="29"/>
        <v>601.36159999999995</v>
      </c>
    </row>
    <row r="141" spans="1:29" x14ac:dyDescent="0.35">
      <c r="A141" t="s">
        <v>381</v>
      </c>
      <c r="B141" t="s">
        <v>382</v>
      </c>
      <c r="C141" t="s">
        <v>77</v>
      </c>
      <c r="D141" t="s">
        <v>63</v>
      </c>
      <c r="E141" s="1">
        <v>45096</v>
      </c>
      <c r="F141" s="24">
        <f t="shared" si="20"/>
        <v>2023</v>
      </c>
      <c r="G141" s="24" t="str">
        <f t="shared" si="21"/>
        <v>June</v>
      </c>
      <c r="H141" s="24" t="str">
        <f t="shared" si="22"/>
        <v>Monday</v>
      </c>
      <c r="I141" s="22">
        <v>0.86682870370370368</v>
      </c>
      <c r="J141" s="24">
        <f t="shared" si="23"/>
        <v>20</v>
      </c>
      <c r="K141" s="24">
        <f t="shared" si="24"/>
        <v>48</v>
      </c>
      <c r="L141" s="24">
        <f t="shared" si="25"/>
        <v>14</v>
      </c>
      <c r="M141" t="s">
        <v>33</v>
      </c>
      <c r="N141" t="s">
        <v>34</v>
      </c>
      <c r="O141" s="24">
        <v>8</v>
      </c>
      <c r="P141" s="11">
        <v>377.73</v>
      </c>
      <c r="Q141" s="26">
        <f>VLOOKUP('Prepared Sales Dataset'!M141,'Product-cost'!A:B,2,FALSE)</f>
        <v>200</v>
      </c>
      <c r="R141" t="s">
        <v>42</v>
      </c>
      <c r="S141" t="s">
        <v>80</v>
      </c>
      <c r="U141" t="s">
        <v>923</v>
      </c>
      <c r="V141" s="17">
        <f>P141*O141</f>
        <v>3021.84</v>
      </c>
      <c r="W141" s="19">
        <f>O141*Q141</f>
        <v>1600</v>
      </c>
      <c r="X141" s="13">
        <f>VLOOKUP(R141,Taxrate!A:B,2,FALSE)</f>
        <v>0.15</v>
      </c>
      <c r="Y141" s="15">
        <f t="shared" si="26"/>
        <v>453.27600000000001</v>
      </c>
      <c r="Z141" s="9">
        <f>VLOOKUP(M141,'Discount Rate'!A:B,2,FALSE)</f>
        <v>0.08</v>
      </c>
      <c r="AA141" s="11">
        <f t="shared" si="27"/>
        <v>241.74720000000002</v>
      </c>
      <c r="AB141" s="15">
        <f t="shared" si="28"/>
        <v>2326.8168000000001</v>
      </c>
      <c r="AC141" s="15">
        <f t="shared" si="29"/>
        <v>726.81680000000006</v>
      </c>
    </row>
    <row r="142" spans="1:29" x14ac:dyDescent="0.35">
      <c r="A142" t="s">
        <v>383</v>
      </c>
      <c r="B142" t="s">
        <v>384</v>
      </c>
      <c r="C142" t="s">
        <v>40</v>
      </c>
      <c r="D142" t="s">
        <v>41</v>
      </c>
      <c r="E142" s="1">
        <v>45830</v>
      </c>
      <c r="F142" s="24">
        <f t="shared" si="20"/>
        <v>2025</v>
      </c>
      <c r="G142" s="24" t="str">
        <f t="shared" si="21"/>
        <v>June</v>
      </c>
      <c r="H142" s="24" t="str">
        <f t="shared" si="22"/>
        <v>Sunday</v>
      </c>
      <c r="I142" s="22">
        <v>0.58804398148148151</v>
      </c>
      <c r="J142" s="24">
        <f t="shared" si="23"/>
        <v>14</v>
      </c>
      <c r="K142" s="24">
        <f t="shared" si="24"/>
        <v>6</v>
      </c>
      <c r="L142" s="24">
        <f t="shared" si="25"/>
        <v>47</v>
      </c>
      <c r="M142" t="s">
        <v>26</v>
      </c>
      <c r="N142" t="s">
        <v>27</v>
      </c>
      <c r="O142" s="24">
        <v>1</v>
      </c>
      <c r="P142" s="11">
        <v>584.57000000000005</v>
      </c>
      <c r="Q142" s="26">
        <f>VLOOKUP('Prepared Sales Dataset'!M142,'Product-cost'!A:B,2,FALSE)</f>
        <v>300</v>
      </c>
      <c r="R142" t="s">
        <v>55</v>
      </c>
      <c r="S142" t="s">
        <v>90</v>
      </c>
      <c r="T142" t="s">
        <v>44</v>
      </c>
      <c r="U142" t="s">
        <v>921</v>
      </c>
      <c r="V142" s="17">
        <f>P142*O142</f>
        <v>584.57000000000005</v>
      </c>
      <c r="W142" s="19">
        <f>O142*Q142</f>
        <v>300</v>
      </c>
      <c r="X142" s="13">
        <f>VLOOKUP(R142,Taxrate!A:B,2,FALSE)</f>
        <v>7.0000000000000007E-2</v>
      </c>
      <c r="Y142" s="15">
        <f t="shared" si="26"/>
        <v>40.919900000000005</v>
      </c>
      <c r="Z142" s="9">
        <f>VLOOKUP(M142,'Discount Rate'!A:B,2,FALSE)</f>
        <v>0.1</v>
      </c>
      <c r="AA142" s="11">
        <f t="shared" si="27"/>
        <v>58.457000000000008</v>
      </c>
      <c r="AB142" s="15">
        <f t="shared" si="28"/>
        <v>485.19310000000007</v>
      </c>
      <c r="AC142" s="15">
        <f t="shared" si="29"/>
        <v>185.19310000000007</v>
      </c>
    </row>
    <row r="143" spans="1:29" x14ac:dyDescent="0.35">
      <c r="A143" t="s">
        <v>385</v>
      </c>
      <c r="B143" t="s">
        <v>132</v>
      </c>
      <c r="C143" t="s">
        <v>98</v>
      </c>
      <c r="D143" t="s">
        <v>99</v>
      </c>
      <c r="E143" s="1">
        <v>45803</v>
      </c>
      <c r="F143" s="24">
        <f t="shared" si="20"/>
        <v>2025</v>
      </c>
      <c r="G143" s="24" t="str">
        <f t="shared" si="21"/>
        <v>May</v>
      </c>
      <c r="H143" s="24" t="str">
        <f t="shared" si="22"/>
        <v>Monday</v>
      </c>
      <c r="I143" s="22">
        <v>0.71446759259259263</v>
      </c>
      <c r="J143" s="24">
        <f t="shared" si="23"/>
        <v>17</v>
      </c>
      <c r="K143" s="24">
        <f t="shared" si="24"/>
        <v>8</v>
      </c>
      <c r="L143" s="24">
        <f t="shared" si="25"/>
        <v>50</v>
      </c>
      <c r="M143" t="s">
        <v>26</v>
      </c>
      <c r="N143" t="s">
        <v>27</v>
      </c>
      <c r="O143" s="24">
        <v>13</v>
      </c>
      <c r="P143" s="11">
        <v>506</v>
      </c>
      <c r="Q143" s="26">
        <f>VLOOKUP('Prepared Sales Dataset'!M143,'Product-cost'!A:B,2,FALSE)</f>
        <v>300</v>
      </c>
      <c r="R143" t="s">
        <v>28</v>
      </c>
      <c r="S143" t="s">
        <v>100</v>
      </c>
      <c r="U143" t="s">
        <v>923</v>
      </c>
      <c r="V143" s="17">
        <f>P143*O143</f>
        <v>6578</v>
      </c>
      <c r="W143" s="19">
        <f>O143*Q143</f>
        <v>3900</v>
      </c>
      <c r="X143" s="13">
        <f>VLOOKUP(R143,Taxrate!A:B,2,FALSE)</f>
        <v>0.1</v>
      </c>
      <c r="Y143" s="15">
        <f t="shared" si="26"/>
        <v>657.80000000000007</v>
      </c>
      <c r="Z143" s="9">
        <f>VLOOKUP(M143,'Discount Rate'!A:B,2,FALSE)</f>
        <v>0.1</v>
      </c>
      <c r="AA143" s="11">
        <f t="shared" si="27"/>
        <v>657.80000000000007</v>
      </c>
      <c r="AB143" s="15">
        <f t="shared" si="28"/>
        <v>5262.4</v>
      </c>
      <c r="AC143" s="15">
        <f t="shared" si="29"/>
        <v>1362.3999999999996</v>
      </c>
    </row>
    <row r="144" spans="1:29" x14ac:dyDescent="0.35">
      <c r="A144" t="s">
        <v>386</v>
      </c>
      <c r="B144" t="s">
        <v>387</v>
      </c>
      <c r="C144" t="s">
        <v>15</v>
      </c>
      <c r="D144" t="s">
        <v>16</v>
      </c>
      <c r="E144" s="1">
        <v>45769</v>
      </c>
      <c r="F144" s="24">
        <f t="shared" si="20"/>
        <v>2025</v>
      </c>
      <c r="G144" s="24" t="str">
        <f t="shared" si="21"/>
        <v>April</v>
      </c>
      <c r="H144" s="24" t="str">
        <f t="shared" si="22"/>
        <v>Tuesday</v>
      </c>
      <c r="I144" s="22">
        <v>0.53866898148148146</v>
      </c>
      <c r="J144" s="24">
        <f t="shared" si="23"/>
        <v>12</v>
      </c>
      <c r="K144" s="24">
        <f t="shared" si="24"/>
        <v>55</v>
      </c>
      <c r="L144" s="24">
        <f t="shared" si="25"/>
        <v>41</v>
      </c>
      <c r="M144" t="s">
        <v>26</v>
      </c>
      <c r="N144" t="s">
        <v>27</v>
      </c>
      <c r="O144" s="24">
        <v>3</v>
      </c>
      <c r="P144" s="11">
        <v>693.42</v>
      </c>
      <c r="Q144" s="26">
        <f>VLOOKUP('Prepared Sales Dataset'!M144,'Product-cost'!A:B,2,FALSE)</f>
        <v>300</v>
      </c>
      <c r="R144" t="s">
        <v>35</v>
      </c>
      <c r="S144" t="s">
        <v>20</v>
      </c>
      <c r="U144" t="s">
        <v>923</v>
      </c>
      <c r="V144" s="17">
        <f>P144*O144</f>
        <v>2080.2599999999998</v>
      </c>
      <c r="W144" s="19">
        <f>O144*Q144</f>
        <v>900</v>
      </c>
      <c r="X144" s="13">
        <f>VLOOKUP(R144,Taxrate!A:B,2,FALSE)</f>
        <v>0.2</v>
      </c>
      <c r="Y144" s="15">
        <f t="shared" si="26"/>
        <v>416.05199999999996</v>
      </c>
      <c r="Z144" s="9">
        <f>VLOOKUP(M144,'Discount Rate'!A:B,2,FALSE)</f>
        <v>0.1</v>
      </c>
      <c r="AA144" s="11">
        <f t="shared" si="27"/>
        <v>208.02599999999998</v>
      </c>
      <c r="AB144" s="15">
        <f t="shared" si="28"/>
        <v>1456.1819999999998</v>
      </c>
      <c r="AC144" s="15">
        <f t="shared" si="29"/>
        <v>556.18199999999979</v>
      </c>
    </row>
    <row r="145" spans="1:29" x14ac:dyDescent="0.35">
      <c r="A145" t="s">
        <v>388</v>
      </c>
      <c r="B145" t="s">
        <v>389</v>
      </c>
      <c r="C145" t="s">
        <v>70</v>
      </c>
      <c r="D145" t="s">
        <v>71</v>
      </c>
      <c r="E145" s="1">
        <v>45982</v>
      </c>
      <c r="F145" s="24">
        <f t="shared" si="20"/>
        <v>2025</v>
      </c>
      <c r="G145" s="24" t="str">
        <f t="shared" si="21"/>
        <v>November</v>
      </c>
      <c r="H145" s="24" t="str">
        <f t="shared" si="22"/>
        <v>Friday</v>
      </c>
      <c r="I145" s="22">
        <v>0.83328703703703699</v>
      </c>
      <c r="J145" s="24">
        <f t="shared" si="23"/>
        <v>19</v>
      </c>
      <c r="K145" s="24">
        <f t="shared" si="24"/>
        <v>59</v>
      </c>
      <c r="L145" s="24">
        <f t="shared" si="25"/>
        <v>56</v>
      </c>
      <c r="M145" t="s">
        <v>33</v>
      </c>
      <c r="N145" t="s">
        <v>34</v>
      </c>
      <c r="O145" s="24">
        <v>8</v>
      </c>
      <c r="P145" s="11">
        <v>320.49</v>
      </c>
      <c r="Q145" s="26">
        <f>VLOOKUP('Prepared Sales Dataset'!M145,'Product-cost'!A:B,2,FALSE)</f>
        <v>200</v>
      </c>
      <c r="R145" t="s">
        <v>55</v>
      </c>
      <c r="S145" t="s">
        <v>73</v>
      </c>
      <c r="T145" t="s">
        <v>30</v>
      </c>
      <c r="U145" t="s">
        <v>921</v>
      </c>
      <c r="V145" s="17">
        <f>P145*O145</f>
        <v>2563.92</v>
      </c>
      <c r="W145" s="19">
        <f>O145*Q145</f>
        <v>1600</v>
      </c>
      <c r="X145" s="13">
        <f>VLOOKUP(R145,Taxrate!A:B,2,FALSE)</f>
        <v>7.0000000000000007E-2</v>
      </c>
      <c r="Y145" s="15">
        <f t="shared" si="26"/>
        <v>179.47440000000003</v>
      </c>
      <c r="Z145" s="9">
        <f>VLOOKUP(M145,'Discount Rate'!A:B,2,FALSE)</f>
        <v>0.08</v>
      </c>
      <c r="AA145" s="11">
        <f t="shared" si="27"/>
        <v>205.11360000000002</v>
      </c>
      <c r="AB145" s="15">
        <f t="shared" si="28"/>
        <v>2179.3319999999999</v>
      </c>
      <c r="AC145" s="15">
        <f t="shared" si="29"/>
        <v>579.33199999999988</v>
      </c>
    </row>
    <row r="146" spans="1:29" x14ac:dyDescent="0.35">
      <c r="A146" t="s">
        <v>390</v>
      </c>
      <c r="B146" t="s">
        <v>391</v>
      </c>
      <c r="C146" t="s">
        <v>195</v>
      </c>
      <c r="D146" t="s">
        <v>63</v>
      </c>
      <c r="E146" s="1">
        <v>45476</v>
      </c>
      <c r="F146" s="24">
        <f t="shared" si="20"/>
        <v>2024</v>
      </c>
      <c r="G146" s="24" t="str">
        <f t="shared" si="21"/>
        <v>July</v>
      </c>
      <c r="H146" s="24" t="str">
        <f t="shared" si="22"/>
        <v>Wednesday</v>
      </c>
      <c r="I146" s="22">
        <v>0.88774305555555555</v>
      </c>
      <c r="J146" s="24">
        <f t="shared" si="23"/>
        <v>21</v>
      </c>
      <c r="K146" s="24">
        <f t="shared" si="24"/>
        <v>18</v>
      </c>
      <c r="L146" s="24">
        <f t="shared" si="25"/>
        <v>21</v>
      </c>
      <c r="M146" t="s">
        <v>49</v>
      </c>
      <c r="N146" t="s">
        <v>50</v>
      </c>
      <c r="O146" s="24">
        <v>10</v>
      </c>
      <c r="P146" s="11">
        <v>262.70999999999998</v>
      </c>
      <c r="Q146" s="26">
        <f>VLOOKUP('Prepared Sales Dataset'!M146,'Product-cost'!A:B,2,FALSE)</f>
        <v>150</v>
      </c>
      <c r="R146" t="s">
        <v>55</v>
      </c>
      <c r="S146" t="s">
        <v>241</v>
      </c>
      <c r="U146" t="s">
        <v>923</v>
      </c>
      <c r="V146" s="17">
        <f>P146*O146</f>
        <v>2627.1</v>
      </c>
      <c r="W146" s="19">
        <f>O146*Q146</f>
        <v>1500</v>
      </c>
      <c r="X146" s="13">
        <f>VLOOKUP(R146,Taxrate!A:B,2,FALSE)</f>
        <v>7.0000000000000007E-2</v>
      </c>
      <c r="Y146" s="15">
        <f t="shared" si="26"/>
        <v>183.89700000000002</v>
      </c>
      <c r="Z146" s="9">
        <f>VLOOKUP(M146,'Discount Rate'!A:B,2,FALSE)</f>
        <v>7.0000000000000007E-2</v>
      </c>
      <c r="AA146" s="11">
        <f t="shared" si="27"/>
        <v>183.89700000000002</v>
      </c>
      <c r="AB146" s="15">
        <f t="shared" si="28"/>
        <v>2259.306</v>
      </c>
      <c r="AC146" s="15">
        <f t="shared" si="29"/>
        <v>759.30600000000004</v>
      </c>
    </row>
    <row r="147" spans="1:29" x14ac:dyDescent="0.35">
      <c r="A147" t="s">
        <v>392</v>
      </c>
      <c r="B147" t="s">
        <v>127</v>
      </c>
      <c r="C147" t="s">
        <v>106</v>
      </c>
      <c r="D147" t="s">
        <v>107</v>
      </c>
      <c r="E147" s="1">
        <v>46337</v>
      </c>
      <c r="F147" s="24">
        <f t="shared" si="20"/>
        <v>2026</v>
      </c>
      <c r="G147" s="24" t="str">
        <f t="shared" si="21"/>
        <v>November</v>
      </c>
      <c r="H147" s="24" t="str">
        <f t="shared" si="22"/>
        <v>Wednesday</v>
      </c>
      <c r="I147" s="22">
        <v>0.76331018518518523</v>
      </c>
      <c r="J147" s="24">
        <f t="shared" si="23"/>
        <v>18</v>
      </c>
      <c r="K147" s="24">
        <f t="shared" si="24"/>
        <v>19</v>
      </c>
      <c r="L147" s="24">
        <f t="shared" si="25"/>
        <v>10</v>
      </c>
      <c r="M147" t="s">
        <v>33</v>
      </c>
      <c r="N147" t="s">
        <v>34</v>
      </c>
      <c r="O147" s="24">
        <v>8</v>
      </c>
      <c r="P147" s="11">
        <v>336.48</v>
      </c>
      <c r="Q147" s="26">
        <f>VLOOKUP('Prepared Sales Dataset'!M147,'Product-cost'!A:B,2,FALSE)</f>
        <v>200</v>
      </c>
      <c r="R147" t="s">
        <v>35</v>
      </c>
      <c r="S147" t="s">
        <v>112</v>
      </c>
      <c r="T147" t="s">
        <v>44</v>
      </c>
      <c r="U147" t="s">
        <v>921</v>
      </c>
      <c r="V147" s="17">
        <f>P147*O147</f>
        <v>2691.84</v>
      </c>
      <c r="W147" s="19">
        <f>O147*Q147</f>
        <v>1600</v>
      </c>
      <c r="X147" s="13">
        <f>VLOOKUP(R147,Taxrate!A:B,2,FALSE)</f>
        <v>0.2</v>
      </c>
      <c r="Y147" s="15">
        <f t="shared" si="26"/>
        <v>538.36800000000005</v>
      </c>
      <c r="Z147" s="9">
        <f>VLOOKUP(M147,'Discount Rate'!A:B,2,FALSE)</f>
        <v>0.08</v>
      </c>
      <c r="AA147" s="11">
        <f t="shared" si="27"/>
        <v>215.34720000000002</v>
      </c>
      <c r="AB147" s="15">
        <f t="shared" si="28"/>
        <v>1938.1248000000001</v>
      </c>
      <c r="AC147" s="15">
        <f t="shared" si="29"/>
        <v>338.12480000000005</v>
      </c>
    </row>
    <row r="148" spans="1:29" x14ac:dyDescent="0.35">
      <c r="A148" t="s">
        <v>393</v>
      </c>
      <c r="B148" t="s">
        <v>394</v>
      </c>
      <c r="C148" t="s">
        <v>77</v>
      </c>
      <c r="D148" t="s">
        <v>63</v>
      </c>
      <c r="E148" s="1">
        <v>45198</v>
      </c>
      <c r="F148" s="24">
        <f t="shared" si="20"/>
        <v>2023</v>
      </c>
      <c r="G148" s="24" t="str">
        <f t="shared" si="21"/>
        <v>September</v>
      </c>
      <c r="H148" s="24" t="str">
        <f t="shared" si="22"/>
        <v>Friday</v>
      </c>
      <c r="I148" s="22">
        <v>0.69685185185185183</v>
      </c>
      <c r="J148" s="24">
        <f t="shared" si="23"/>
        <v>16</v>
      </c>
      <c r="K148" s="24">
        <f t="shared" si="24"/>
        <v>43</v>
      </c>
      <c r="L148" s="24">
        <f t="shared" si="25"/>
        <v>28</v>
      </c>
      <c r="M148" t="s">
        <v>17</v>
      </c>
      <c r="N148" t="s">
        <v>18</v>
      </c>
      <c r="O148" s="24">
        <v>8</v>
      </c>
      <c r="P148" s="11">
        <v>860.3</v>
      </c>
      <c r="Q148" s="26">
        <f>VLOOKUP('Prepared Sales Dataset'!M148,'Product-cost'!A:B,2,FALSE)</f>
        <v>600</v>
      </c>
      <c r="R148" t="s">
        <v>42</v>
      </c>
      <c r="S148" t="s">
        <v>80</v>
      </c>
      <c r="T148" t="s">
        <v>249</v>
      </c>
      <c r="U148" t="s">
        <v>921</v>
      </c>
      <c r="V148" s="17">
        <f>P148*O148</f>
        <v>6882.4</v>
      </c>
      <c r="W148" s="19">
        <f>O148*Q148</f>
        <v>4800</v>
      </c>
      <c r="X148" s="13">
        <f>VLOOKUP(R148,Taxrate!A:B,2,FALSE)</f>
        <v>0.15</v>
      </c>
      <c r="Y148" s="15">
        <f t="shared" si="26"/>
        <v>1032.3599999999999</v>
      </c>
      <c r="Z148" s="9">
        <f>VLOOKUP(M148,'Discount Rate'!A:B,2,FALSE)</f>
        <v>0.05</v>
      </c>
      <c r="AA148" s="11">
        <f t="shared" si="27"/>
        <v>344.12</v>
      </c>
      <c r="AB148" s="15">
        <f t="shared" si="28"/>
        <v>5505.92</v>
      </c>
      <c r="AC148" s="15">
        <f t="shared" si="29"/>
        <v>705.92000000000007</v>
      </c>
    </row>
    <row r="149" spans="1:29" x14ac:dyDescent="0.35">
      <c r="A149" t="s">
        <v>395</v>
      </c>
      <c r="B149" t="s">
        <v>396</v>
      </c>
      <c r="C149" t="s">
        <v>139</v>
      </c>
      <c r="D149" t="s">
        <v>25</v>
      </c>
      <c r="E149" s="1">
        <v>45199</v>
      </c>
      <c r="F149" s="24">
        <f t="shared" si="20"/>
        <v>2023</v>
      </c>
      <c r="G149" s="24" t="str">
        <f t="shared" si="21"/>
        <v>September</v>
      </c>
      <c r="H149" s="24" t="str">
        <f t="shared" si="22"/>
        <v>Saturday</v>
      </c>
      <c r="I149" s="22">
        <v>0.39833333333333332</v>
      </c>
      <c r="J149" s="24">
        <f t="shared" si="23"/>
        <v>9</v>
      </c>
      <c r="K149" s="24">
        <f t="shared" si="24"/>
        <v>33</v>
      </c>
      <c r="L149" s="24">
        <f t="shared" si="25"/>
        <v>36</v>
      </c>
      <c r="M149" t="s">
        <v>17</v>
      </c>
      <c r="N149" t="s">
        <v>18</v>
      </c>
      <c r="O149" s="24">
        <v>3</v>
      </c>
      <c r="P149" s="11">
        <v>1161.22</v>
      </c>
      <c r="Q149" s="26">
        <f>VLOOKUP('Prepared Sales Dataset'!M149,'Product-cost'!A:B,2,FALSE)</f>
        <v>600</v>
      </c>
      <c r="R149" t="s">
        <v>35</v>
      </c>
      <c r="S149" t="s">
        <v>155</v>
      </c>
      <c r="U149" t="s">
        <v>923</v>
      </c>
      <c r="V149" s="17">
        <f>P149*O149</f>
        <v>3483.66</v>
      </c>
      <c r="W149" s="19">
        <f>O149*Q149</f>
        <v>1800</v>
      </c>
      <c r="X149" s="13">
        <f>VLOOKUP(R149,Taxrate!A:B,2,FALSE)</f>
        <v>0.2</v>
      </c>
      <c r="Y149" s="15">
        <f t="shared" si="26"/>
        <v>696.73199999999997</v>
      </c>
      <c r="Z149" s="9">
        <f>VLOOKUP(M149,'Discount Rate'!A:B,2,FALSE)</f>
        <v>0.05</v>
      </c>
      <c r="AA149" s="11">
        <f t="shared" si="27"/>
        <v>174.18299999999999</v>
      </c>
      <c r="AB149" s="15">
        <f t="shared" si="28"/>
        <v>2612.7449999999999</v>
      </c>
      <c r="AC149" s="15">
        <f t="shared" si="29"/>
        <v>812.74499999999989</v>
      </c>
    </row>
    <row r="150" spans="1:29" x14ac:dyDescent="0.35">
      <c r="A150" t="s">
        <v>397</v>
      </c>
      <c r="B150" t="s">
        <v>398</v>
      </c>
      <c r="C150" t="s">
        <v>169</v>
      </c>
      <c r="D150" t="s">
        <v>170</v>
      </c>
      <c r="E150" s="1">
        <v>45806</v>
      </c>
      <c r="F150" s="24">
        <f t="shared" si="20"/>
        <v>2025</v>
      </c>
      <c r="G150" s="24" t="str">
        <f t="shared" si="21"/>
        <v>May</v>
      </c>
      <c r="H150" s="24" t="str">
        <f t="shared" si="22"/>
        <v>Thursday</v>
      </c>
      <c r="I150" s="22">
        <v>0.83906250000000004</v>
      </c>
      <c r="J150" s="24">
        <f t="shared" si="23"/>
        <v>20</v>
      </c>
      <c r="K150" s="24">
        <f t="shared" si="24"/>
        <v>8</v>
      </c>
      <c r="L150" s="24">
        <f t="shared" si="25"/>
        <v>15</v>
      </c>
      <c r="M150" t="s">
        <v>33</v>
      </c>
      <c r="N150" t="s">
        <v>34</v>
      </c>
      <c r="O150" s="24">
        <v>4</v>
      </c>
      <c r="P150" s="11">
        <v>440</v>
      </c>
      <c r="Q150" s="26">
        <f>VLOOKUP('Prepared Sales Dataset'!M150,'Product-cost'!A:B,2,FALSE)</f>
        <v>200</v>
      </c>
      <c r="R150" t="s">
        <v>59</v>
      </c>
      <c r="S150" t="s">
        <v>171</v>
      </c>
      <c r="U150" t="s">
        <v>923</v>
      </c>
      <c r="V150" s="17">
        <f>P150*O150</f>
        <v>1760</v>
      </c>
      <c r="W150" s="19">
        <f>O150*Q150</f>
        <v>800</v>
      </c>
      <c r="X150" s="13">
        <f>VLOOKUP(R150,Taxrate!A:B,2,FALSE)</f>
        <v>0.12</v>
      </c>
      <c r="Y150" s="15">
        <f t="shared" si="26"/>
        <v>211.2</v>
      </c>
      <c r="Z150" s="9">
        <f>VLOOKUP(M150,'Discount Rate'!A:B,2,FALSE)</f>
        <v>0.08</v>
      </c>
      <c r="AA150" s="11">
        <f t="shared" si="27"/>
        <v>140.80000000000001</v>
      </c>
      <c r="AB150" s="15">
        <f t="shared" si="28"/>
        <v>1408</v>
      </c>
      <c r="AC150" s="15">
        <f t="shared" si="29"/>
        <v>608</v>
      </c>
    </row>
    <row r="151" spans="1:29" x14ac:dyDescent="0.35">
      <c r="A151" t="s">
        <v>399</v>
      </c>
      <c r="B151" t="s">
        <v>400</v>
      </c>
      <c r="C151" t="s">
        <v>128</v>
      </c>
      <c r="D151" t="s">
        <v>63</v>
      </c>
      <c r="E151" s="1">
        <v>45417</v>
      </c>
      <c r="F151" s="24">
        <f t="shared" si="20"/>
        <v>2024</v>
      </c>
      <c r="G151" s="24" t="str">
        <f t="shared" si="21"/>
        <v>May</v>
      </c>
      <c r="H151" s="24" t="str">
        <f t="shared" si="22"/>
        <v>Sunday</v>
      </c>
      <c r="I151" s="22">
        <v>0.5883680555555556</v>
      </c>
      <c r="J151" s="24">
        <f t="shared" si="23"/>
        <v>14</v>
      </c>
      <c r="K151" s="24">
        <f t="shared" si="24"/>
        <v>7</v>
      </c>
      <c r="L151" s="24">
        <f t="shared" si="25"/>
        <v>15</v>
      </c>
      <c r="M151" t="s">
        <v>78</v>
      </c>
      <c r="N151" t="s">
        <v>79</v>
      </c>
      <c r="O151" s="24">
        <v>2</v>
      </c>
      <c r="P151" s="11">
        <v>193.33</v>
      </c>
      <c r="Q151" s="26">
        <f>VLOOKUP('Prepared Sales Dataset'!M151,'Product-cost'!A:B,2,FALSE)</f>
        <v>50</v>
      </c>
      <c r="R151" t="s">
        <v>28</v>
      </c>
      <c r="S151" t="s">
        <v>241</v>
      </c>
      <c r="T151" t="s">
        <v>231</v>
      </c>
      <c r="U151" t="s">
        <v>922</v>
      </c>
      <c r="V151" s="17">
        <f>P151*O151</f>
        <v>386.66</v>
      </c>
      <c r="W151" s="19">
        <f>O151*Q151</f>
        <v>100</v>
      </c>
      <c r="X151" s="13">
        <f>VLOOKUP(R151,Taxrate!A:B,2,FALSE)</f>
        <v>0.1</v>
      </c>
      <c r="Y151" s="15">
        <f t="shared" si="26"/>
        <v>38.666000000000004</v>
      </c>
      <c r="Z151" s="9">
        <f>VLOOKUP(M151,'Discount Rate'!A:B,2,FALSE)</f>
        <v>0.03</v>
      </c>
      <c r="AA151" s="11">
        <f t="shared" si="27"/>
        <v>11.5998</v>
      </c>
      <c r="AB151" s="15">
        <f t="shared" si="28"/>
        <v>336.39420000000001</v>
      </c>
      <c r="AC151" s="15">
        <f t="shared" si="29"/>
        <v>236.39420000000001</v>
      </c>
    </row>
    <row r="152" spans="1:29" x14ac:dyDescent="0.35">
      <c r="A152" t="s">
        <v>401</v>
      </c>
      <c r="B152" t="s">
        <v>402</v>
      </c>
      <c r="C152" t="s">
        <v>70</v>
      </c>
      <c r="D152" t="s">
        <v>71</v>
      </c>
      <c r="E152" s="1">
        <v>46129</v>
      </c>
      <c r="F152" s="24">
        <f t="shared" si="20"/>
        <v>2026</v>
      </c>
      <c r="G152" s="24" t="str">
        <f t="shared" si="21"/>
        <v>April</v>
      </c>
      <c r="H152" s="24" t="str">
        <f t="shared" si="22"/>
        <v>Friday</v>
      </c>
      <c r="I152" s="22">
        <v>0.34459490740740739</v>
      </c>
      <c r="J152" s="24">
        <f t="shared" si="23"/>
        <v>8</v>
      </c>
      <c r="K152" s="24">
        <f t="shared" si="24"/>
        <v>16</v>
      </c>
      <c r="L152" s="24">
        <f t="shared" si="25"/>
        <v>13</v>
      </c>
      <c r="M152" t="s">
        <v>17</v>
      </c>
      <c r="N152" t="s">
        <v>18</v>
      </c>
      <c r="O152" s="24">
        <v>13</v>
      </c>
      <c r="P152" s="11">
        <v>943.24</v>
      </c>
      <c r="Q152" s="26">
        <f>VLOOKUP('Prepared Sales Dataset'!M152,'Product-cost'!A:B,2,FALSE)</f>
        <v>600</v>
      </c>
      <c r="R152" t="s">
        <v>59</v>
      </c>
      <c r="S152" t="s">
        <v>190</v>
      </c>
      <c r="T152" t="s">
        <v>109</v>
      </c>
      <c r="U152" t="s">
        <v>923</v>
      </c>
      <c r="V152" s="17">
        <f>P152*O152</f>
        <v>12262.12</v>
      </c>
      <c r="W152" s="19">
        <f>O152*Q152</f>
        <v>7800</v>
      </c>
      <c r="X152" s="13">
        <f>VLOOKUP(R152,Taxrate!A:B,2,FALSE)</f>
        <v>0.12</v>
      </c>
      <c r="Y152" s="15">
        <f t="shared" si="26"/>
        <v>1471.4544000000001</v>
      </c>
      <c r="Z152" s="9">
        <f>VLOOKUP(M152,'Discount Rate'!A:B,2,FALSE)</f>
        <v>0.05</v>
      </c>
      <c r="AA152" s="11">
        <f t="shared" si="27"/>
        <v>613.10600000000011</v>
      </c>
      <c r="AB152" s="15">
        <f t="shared" si="28"/>
        <v>10177.559600000001</v>
      </c>
      <c r="AC152" s="15">
        <f t="shared" si="29"/>
        <v>2377.5596000000005</v>
      </c>
    </row>
    <row r="153" spans="1:29" x14ac:dyDescent="0.35">
      <c r="A153" t="s">
        <v>403</v>
      </c>
      <c r="B153" t="s">
        <v>404</v>
      </c>
      <c r="C153" t="s">
        <v>139</v>
      </c>
      <c r="D153" t="s">
        <v>25</v>
      </c>
      <c r="E153" s="1">
        <v>45596</v>
      </c>
      <c r="F153" s="24">
        <f t="shared" si="20"/>
        <v>2024</v>
      </c>
      <c r="G153" s="24" t="str">
        <f t="shared" si="21"/>
        <v>October</v>
      </c>
      <c r="H153" s="24" t="str">
        <f t="shared" si="22"/>
        <v>Thursday</v>
      </c>
      <c r="I153" s="22">
        <v>0.73666666666666669</v>
      </c>
      <c r="J153" s="24">
        <f t="shared" si="23"/>
        <v>17</v>
      </c>
      <c r="K153" s="24">
        <f t="shared" si="24"/>
        <v>40</v>
      </c>
      <c r="L153" s="24">
        <f t="shared" si="25"/>
        <v>48</v>
      </c>
      <c r="M153" t="s">
        <v>17</v>
      </c>
      <c r="N153" t="s">
        <v>18</v>
      </c>
      <c r="O153" s="24">
        <v>7</v>
      </c>
      <c r="P153" s="11">
        <v>1223.23</v>
      </c>
      <c r="Q153" s="26">
        <f>VLOOKUP('Prepared Sales Dataset'!M153,'Product-cost'!A:B,2,FALSE)</f>
        <v>600</v>
      </c>
      <c r="R153" t="s">
        <v>55</v>
      </c>
      <c r="S153" t="s">
        <v>29</v>
      </c>
      <c r="T153" t="s">
        <v>166</v>
      </c>
      <c r="U153" t="s">
        <v>921</v>
      </c>
      <c r="V153" s="17">
        <f>P153*O153</f>
        <v>8562.61</v>
      </c>
      <c r="W153" s="19">
        <f>O153*Q153</f>
        <v>4200</v>
      </c>
      <c r="X153" s="13">
        <f>VLOOKUP(R153,Taxrate!A:B,2,FALSE)</f>
        <v>7.0000000000000007E-2</v>
      </c>
      <c r="Y153" s="15">
        <f t="shared" si="26"/>
        <v>599.38270000000011</v>
      </c>
      <c r="Z153" s="9">
        <f>VLOOKUP(M153,'Discount Rate'!A:B,2,FALSE)</f>
        <v>0.05</v>
      </c>
      <c r="AA153" s="11">
        <f t="shared" si="27"/>
        <v>428.13050000000004</v>
      </c>
      <c r="AB153" s="15">
        <f t="shared" si="28"/>
        <v>7535.0968000000003</v>
      </c>
      <c r="AC153" s="15">
        <f t="shared" si="29"/>
        <v>3335.0968000000003</v>
      </c>
    </row>
    <row r="154" spans="1:29" x14ac:dyDescent="0.35">
      <c r="A154" t="s">
        <v>405</v>
      </c>
      <c r="B154" t="s">
        <v>406</v>
      </c>
      <c r="C154" t="s">
        <v>407</v>
      </c>
      <c r="D154" t="s">
        <v>48</v>
      </c>
      <c r="E154" s="1">
        <v>45208</v>
      </c>
      <c r="F154" s="24">
        <f t="shared" si="20"/>
        <v>2023</v>
      </c>
      <c r="G154" s="24" t="str">
        <f t="shared" si="21"/>
        <v>October</v>
      </c>
      <c r="H154" s="24" t="str">
        <f t="shared" si="22"/>
        <v>Monday</v>
      </c>
      <c r="I154" s="22">
        <v>0.43844907407407407</v>
      </c>
      <c r="J154" s="24">
        <f t="shared" si="23"/>
        <v>10</v>
      </c>
      <c r="K154" s="24">
        <f t="shared" si="24"/>
        <v>31</v>
      </c>
      <c r="L154" s="24">
        <f t="shared" si="25"/>
        <v>22</v>
      </c>
      <c r="M154" t="s">
        <v>49</v>
      </c>
      <c r="N154" t="s">
        <v>50</v>
      </c>
      <c r="O154" s="24">
        <v>14</v>
      </c>
      <c r="P154" s="11">
        <v>194.37</v>
      </c>
      <c r="Q154" s="26">
        <f>VLOOKUP('Prepared Sales Dataset'!M154,'Product-cost'!A:B,2,FALSE)</f>
        <v>150</v>
      </c>
      <c r="R154" t="s">
        <v>35</v>
      </c>
      <c r="S154" t="s">
        <v>94</v>
      </c>
      <c r="T154" t="s">
        <v>37</v>
      </c>
      <c r="U154" t="s">
        <v>921</v>
      </c>
      <c r="V154" s="17">
        <f>P154*O154</f>
        <v>2721.1800000000003</v>
      </c>
      <c r="W154" s="19">
        <f>O154*Q154</f>
        <v>2100</v>
      </c>
      <c r="X154" s="13">
        <f>VLOOKUP(R154,Taxrate!A:B,2,FALSE)</f>
        <v>0.2</v>
      </c>
      <c r="Y154" s="15">
        <f t="shared" si="26"/>
        <v>544.2360000000001</v>
      </c>
      <c r="Z154" s="9">
        <f>VLOOKUP(M154,'Discount Rate'!A:B,2,FALSE)</f>
        <v>7.0000000000000007E-2</v>
      </c>
      <c r="AA154" s="11">
        <f t="shared" si="27"/>
        <v>190.48260000000005</v>
      </c>
      <c r="AB154" s="15">
        <f t="shared" si="28"/>
        <v>1986.4614000000001</v>
      </c>
      <c r="AC154" s="15">
        <f t="shared" si="29"/>
        <v>-113.53859999999986</v>
      </c>
    </row>
    <row r="155" spans="1:29" x14ac:dyDescent="0.35">
      <c r="A155" t="s">
        <v>408</v>
      </c>
      <c r="B155" t="s">
        <v>409</v>
      </c>
      <c r="C155" t="s">
        <v>136</v>
      </c>
      <c r="D155" t="s">
        <v>25</v>
      </c>
      <c r="E155" s="1">
        <v>45465</v>
      </c>
      <c r="F155" s="24">
        <f t="shared" si="20"/>
        <v>2024</v>
      </c>
      <c r="G155" s="24" t="str">
        <f t="shared" si="21"/>
        <v>June</v>
      </c>
      <c r="H155" s="24" t="str">
        <f t="shared" si="22"/>
        <v>Saturday</v>
      </c>
      <c r="I155" s="22">
        <v>0.64550925925925928</v>
      </c>
      <c r="J155" s="24">
        <f t="shared" si="23"/>
        <v>15</v>
      </c>
      <c r="K155" s="24">
        <f t="shared" si="24"/>
        <v>29</v>
      </c>
      <c r="L155" s="24">
        <f t="shared" si="25"/>
        <v>32</v>
      </c>
      <c r="M155" t="s">
        <v>33</v>
      </c>
      <c r="N155" t="s">
        <v>34</v>
      </c>
      <c r="O155" s="24">
        <v>8</v>
      </c>
      <c r="P155" s="11">
        <v>353.38</v>
      </c>
      <c r="Q155" s="26">
        <f>VLOOKUP('Prepared Sales Dataset'!M155,'Product-cost'!A:B,2,FALSE)</f>
        <v>200</v>
      </c>
      <c r="R155" t="s">
        <v>35</v>
      </c>
      <c r="S155" t="s">
        <v>29</v>
      </c>
      <c r="T155" t="s">
        <v>37</v>
      </c>
      <c r="U155" t="s">
        <v>921</v>
      </c>
      <c r="V155" s="17">
        <f>P155*O155</f>
        <v>2827.04</v>
      </c>
      <c r="W155" s="19">
        <f>O155*Q155</f>
        <v>1600</v>
      </c>
      <c r="X155" s="13">
        <f>VLOOKUP(R155,Taxrate!A:B,2,FALSE)</f>
        <v>0.2</v>
      </c>
      <c r="Y155" s="15">
        <f t="shared" si="26"/>
        <v>565.40800000000002</v>
      </c>
      <c r="Z155" s="9">
        <f>VLOOKUP(M155,'Discount Rate'!A:B,2,FALSE)</f>
        <v>0.08</v>
      </c>
      <c r="AA155" s="11">
        <f t="shared" si="27"/>
        <v>226.16319999999999</v>
      </c>
      <c r="AB155" s="15">
        <f t="shared" si="28"/>
        <v>2035.4688000000001</v>
      </c>
      <c r="AC155" s="15">
        <f t="shared" si="29"/>
        <v>435.4688000000001</v>
      </c>
    </row>
    <row r="156" spans="1:29" x14ac:dyDescent="0.35">
      <c r="A156" t="s">
        <v>410</v>
      </c>
      <c r="B156" t="s">
        <v>411</v>
      </c>
      <c r="C156" t="s">
        <v>407</v>
      </c>
      <c r="D156" t="s">
        <v>48</v>
      </c>
      <c r="E156" s="1">
        <v>45021</v>
      </c>
      <c r="F156" s="24">
        <f t="shared" si="20"/>
        <v>2023</v>
      </c>
      <c r="G156" s="24" t="str">
        <f t="shared" si="21"/>
        <v>April</v>
      </c>
      <c r="H156" s="24" t="str">
        <f t="shared" si="22"/>
        <v>Wednesday</v>
      </c>
      <c r="I156" s="22">
        <v>0.5590046296296296</v>
      </c>
      <c r="J156" s="24">
        <f t="shared" si="23"/>
        <v>13</v>
      </c>
      <c r="K156" s="24">
        <f t="shared" si="24"/>
        <v>24</v>
      </c>
      <c r="L156" s="24">
        <f t="shared" si="25"/>
        <v>58</v>
      </c>
      <c r="M156" t="s">
        <v>26</v>
      </c>
      <c r="N156" t="s">
        <v>27</v>
      </c>
      <c r="O156" s="24">
        <v>14</v>
      </c>
      <c r="P156" s="11">
        <v>506</v>
      </c>
      <c r="Q156" s="26">
        <f>VLOOKUP('Prepared Sales Dataset'!M156,'Product-cost'!A:B,2,FALSE)</f>
        <v>300</v>
      </c>
      <c r="R156" t="s">
        <v>42</v>
      </c>
      <c r="S156" t="s">
        <v>85</v>
      </c>
      <c r="T156" t="s">
        <v>133</v>
      </c>
      <c r="U156" t="s">
        <v>921</v>
      </c>
      <c r="V156" s="17">
        <f>P156*O156</f>
        <v>7084</v>
      </c>
      <c r="W156" s="19">
        <f>O156*Q156</f>
        <v>4200</v>
      </c>
      <c r="X156" s="13">
        <f>VLOOKUP(R156,Taxrate!A:B,2,FALSE)</f>
        <v>0.15</v>
      </c>
      <c r="Y156" s="15">
        <f t="shared" si="26"/>
        <v>1062.5999999999999</v>
      </c>
      <c r="Z156" s="9">
        <f>VLOOKUP(M156,'Discount Rate'!A:B,2,FALSE)</f>
        <v>0.1</v>
      </c>
      <c r="AA156" s="11">
        <f t="shared" si="27"/>
        <v>708.40000000000009</v>
      </c>
      <c r="AB156" s="15">
        <f t="shared" si="28"/>
        <v>5313</v>
      </c>
      <c r="AC156" s="15">
        <f t="shared" si="29"/>
        <v>1113</v>
      </c>
    </row>
    <row r="157" spans="1:29" x14ac:dyDescent="0.35">
      <c r="A157" t="s">
        <v>412</v>
      </c>
      <c r="B157" t="s">
        <v>413</v>
      </c>
      <c r="C157" t="s">
        <v>47</v>
      </c>
      <c r="D157" t="s">
        <v>48</v>
      </c>
      <c r="E157" s="1">
        <v>45384</v>
      </c>
      <c r="F157" s="24">
        <f t="shared" si="20"/>
        <v>2024</v>
      </c>
      <c r="G157" s="24" t="str">
        <f t="shared" si="21"/>
        <v>April</v>
      </c>
      <c r="H157" s="24" t="str">
        <f t="shared" si="22"/>
        <v>Tuesday</v>
      </c>
      <c r="I157" s="22">
        <v>0.58675925925925931</v>
      </c>
      <c r="J157" s="24">
        <f t="shared" si="23"/>
        <v>14</v>
      </c>
      <c r="K157" s="24">
        <f t="shared" si="24"/>
        <v>4</v>
      </c>
      <c r="L157" s="24">
        <f t="shared" si="25"/>
        <v>56</v>
      </c>
      <c r="M157" t="s">
        <v>78</v>
      </c>
      <c r="N157" t="s">
        <v>79</v>
      </c>
      <c r="O157" s="24">
        <v>13</v>
      </c>
      <c r="P157" s="11">
        <v>144.55000000000001</v>
      </c>
      <c r="Q157" s="26">
        <f>VLOOKUP('Prepared Sales Dataset'!M157,'Product-cost'!A:B,2,FALSE)</f>
        <v>50</v>
      </c>
      <c r="R157" t="s">
        <v>59</v>
      </c>
      <c r="S157" t="s">
        <v>85</v>
      </c>
      <c r="T157" t="s">
        <v>133</v>
      </c>
      <c r="U157" t="s">
        <v>921</v>
      </c>
      <c r="V157" s="17">
        <f>P157*O157</f>
        <v>1879.15</v>
      </c>
      <c r="W157" s="19">
        <f>O157*Q157</f>
        <v>650</v>
      </c>
      <c r="X157" s="13">
        <f>VLOOKUP(R157,Taxrate!A:B,2,FALSE)</f>
        <v>0.12</v>
      </c>
      <c r="Y157" s="15">
        <f t="shared" si="26"/>
        <v>225.49799999999999</v>
      </c>
      <c r="Z157" s="9">
        <f>VLOOKUP(M157,'Discount Rate'!A:B,2,FALSE)</f>
        <v>0.03</v>
      </c>
      <c r="AA157" s="11">
        <f t="shared" si="27"/>
        <v>56.374499999999998</v>
      </c>
      <c r="AB157" s="15">
        <f t="shared" si="28"/>
        <v>1597.2775000000001</v>
      </c>
      <c r="AC157" s="15">
        <f t="shared" si="29"/>
        <v>947.27750000000015</v>
      </c>
    </row>
    <row r="158" spans="1:29" x14ac:dyDescent="0.35">
      <c r="A158" t="s">
        <v>414</v>
      </c>
      <c r="B158" t="s">
        <v>317</v>
      </c>
      <c r="C158" t="s">
        <v>195</v>
      </c>
      <c r="D158" t="s">
        <v>63</v>
      </c>
      <c r="E158" s="1">
        <v>45235</v>
      </c>
      <c r="F158" s="24">
        <f t="shared" si="20"/>
        <v>2023</v>
      </c>
      <c r="G158" s="24" t="str">
        <f t="shared" si="21"/>
        <v>November</v>
      </c>
      <c r="H158" s="24" t="str">
        <f t="shared" si="22"/>
        <v>Sunday</v>
      </c>
      <c r="I158" s="22">
        <v>0.5841898148148148</v>
      </c>
      <c r="J158" s="24">
        <f t="shared" si="23"/>
        <v>14</v>
      </c>
      <c r="K158" s="24">
        <f t="shared" si="24"/>
        <v>1</v>
      </c>
      <c r="L158" s="24">
        <f t="shared" si="25"/>
        <v>14</v>
      </c>
      <c r="M158" t="s">
        <v>49</v>
      </c>
      <c r="N158" t="s">
        <v>50</v>
      </c>
      <c r="O158" s="24">
        <v>14</v>
      </c>
      <c r="P158" s="11">
        <v>177.06</v>
      </c>
      <c r="Q158" s="26">
        <f>VLOOKUP('Prepared Sales Dataset'!M158,'Product-cost'!A:B,2,FALSE)</f>
        <v>150</v>
      </c>
      <c r="R158" t="s">
        <v>28</v>
      </c>
      <c r="S158" t="s">
        <v>64</v>
      </c>
      <c r="U158" t="s">
        <v>923</v>
      </c>
      <c r="V158" s="17">
        <f>P158*O158</f>
        <v>2478.84</v>
      </c>
      <c r="W158" s="19">
        <f>O158*Q158</f>
        <v>2100</v>
      </c>
      <c r="X158" s="13">
        <f>VLOOKUP(R158,Taxrate!A:B,2,FALSE)</f>
        <v>0.1</v>
      </c>
      <c r="Y158" s="15">
        <f t="shared" si="26"/>
        <v>247.88400000000001</v>
      </c>
      <c r="Z158" s="9">
        <f>VLOOKUP(M158,'Discount Rate'!A:B,2,FALSE)</f>
        <v>7.0000000000000007E-2</v>
      </c>
      <c r="AA158" s="11">
        <f t="shared" si="27"/>
        <v>173.51880000000003</v>
      </c>
      <c r="AB158" s="15">
        <f t="shared" si="28"/>
        <v>2057.4372000000003</v>
      </c>
      <c r="AC158" s="15">
        <f t="shared" si="29"/>
        <v>-42.562799999999697</v>
      </c>
    </row>
    <row r="159" spans="1:29" x14ac:dyDescent="0.35">
      <c r="A159" t="s">
        <v>415</v>
      </c>
      <c r="B159" t="s">
        <v>416</v>
      </c>
      <c r="C159" t="s">
        <v>47</v>
      </c>
      <c r="D159" t="s">
        <v>48</v>
      </c>
      <c r="E159" s="1">
        <v>46384</v>
      </c>
      <c r="F159" s="24">
        <f t="shared" si="20"/>
        <v>2026</v>
      </c>
      <c r="G159" s="24" t="str">
        <f t="shared" si="21"/>
        <v>December</v>
      </c>
      <c r="H159" s="24" t="str">
        <f t="shared" si="22"/>
        <v>Monday</v>
      </c>
      <c r="I159" s="22">
        <v>0.37706018518518519</v>
      </c>
      <c r="J159" s="24">
        <f t="shared" si="23"/>
        <v>9</v>
      </c>
      <c r="K159" s="24">
        <f t="shared" si="24"/>
        <v>2</v>
      </c>
      <c r="L159" s="24">
        <f t="shared" si="25"/>
        <v>58</v>
      </c>
      <c r="M159" t="s">
        <v>26</v>
      </c>
      <c r="N159" t="s">
        <v>27</v>
      </c>
      <c r="O159" s="24">
        <v>9</v>
      </c>
      <c r="P159" s="11">
        <v>748.67</v>
      </c>
      <c r="Q159" s="26">
        <f>VLOOKUP('Prepared Sales Dataset'!M159,'Product-cost'!A:B,2,FALSE)</f>
        <v>300</v>
      </c>
      <c r="R159" t="s">
        <v>42</v>
      </c>
      <c r="S159" t="s">
        <v>85</v>
      </c>
      <c r="T159" t="s">
        <v>109</v>
      </c>
      <c r="U159" t="s">
        <v>923</v>
      </c>
      <c r="V159" s="17">
        <f>P159*O159</f>
        <v>6738.03</v>
      </c>
      <c r="W159" s="19">
        <f>O159*Q159</f>
        <v>2700</v>
      </c>
      <c r="X159" s="13">
        <f>VLOOKUP(R159,Taxrate!A:B,2,FALSE)</f>
        <v>0.15</v>
      </c>
      <c r="Y159" s="15">
        <f t="shared" si="26"/>
        <v>1010.7044999999999</v>
      </c>
      <c r="Z159" s="9">
        <f>VLOOKUP(M159,'Discount Rate'!A:B,2,FALSE)</f>
        <v>0.1</v>
      </c>
      <c r="AA159" s="11">
        <f t="shared" si="27"/>
        <v>673.803</v>
      </c>
      <c r="AB159" s="15">
        <f t="shared" si="28"/>
        <v>5053.5225</v>
      </c>
      <c r="AC159" s="15">
        <f t="shared" si="29"/>
        <v>2353.5225</v>
      </c>
    </row>
    <row r="160" spans="1:29" x14ac:dyDescent="0.35">
      <c r="A160" t="s">
        <v>417</v>
      </c>
      <c r="B160" t="s">
        <v>418</v>
      </c>
      <c r="C160" t="s">
        <v>106</v>
      </c>
      <c r="D160" t="s">
        <v>107</v>
      </c>
      <c r="E160" s="1">
        <v>45411</v>
      </c>
      <c r="F160" s="24">
        <f t="shared" si="20"/>
        <v>2024</v>
      </c>
      <c r="G160" s="24" t="str">
        <f t="shared" si="21"/>
        <v>April</v>
      </c>
      <c r="H160" s="24" t="str">
        <f t="shared" si="22"/>
        <v>Monday</v>
      </c>
      <c r="I160" s="22">
        <v>0.53773148148148153</v>
      </c>
      <c r="J160" s="24">
        <f t="shared" si="23"/>
        <v>12</v>
      </c>
      <c r="K160" s="24">
        <f t="shared" si="24"/>
        <v>54</v>
      </c>
      <c r="L160" s="24">
        <f t="shared" si="25"/>
        <v>20</v>
      </c>
      <c r="M160" t="s">
        <v>78</v>
      </c>
      <c r="N160" t="s">
        <v>79</v>
      </c>
      <c r="O160" s="24">
        <v>12</v>
      </c>
      <c r="P160" s="11">
        <v>153.96</v>
      </c>
      <c r="Q160" s="26">
        <f>VLOOKUP('Prepared Sales Dataset'!M160,'Product-cost'!A:B,2,FALSE)</f>
        <v>50</v>
      </c>
      <c r="R160" t="s">
        <v>35</v>
      </c>
      <c r="S160" t="s">
        <v>112</v>
      </c>
      <c r="T160" t="s">
        <v>37</v>
      </c>
      <c r="U160" t="s">
        <v>921</v>
      </c>
      <c r="V160" s="17">
        <f>P160*O160</f>
        <v>1847.52</v>
      </c>
      <c r="W160" s="19">
        <f>O160*Q160</f>
        <v>600</v>
      </c>
      <c r="X160" s="13">
        <f>VLOOKUP(R160,Taxrate!A:B,2,FALSE)</f>
        <v>0.2</v>
      </c>
      <c r="Y160" s="15">
        <f t="shared" si="26"/>
        <v>369.50400000000002</v>
      </c>
      <c r="Z160" s="9">
        <f>VLOOKUP(M160,'Discount Rate'!A:B,2,FALSE)</f>
        <v>0.03</v>
      </c>
      <c r="AA160" s="11">
        <f t="shared" si="27"/>
        <v>55.425599999999996</v>
      </c>
      <c r="AB160" s="15">
        <f t="shared" si="28"/>
        <v>1422.5904</v>
      </c>
      <c r="AC160" s="15">
        <f t="shared" si="29"/>
        <v>822.59040000000005</v>
      </c>
    </row>
    <row r="161" spans="1:29" x14ac:dyDescent="0.35">
      <c r="A161" t="s">
        <v>419</v>
      </c>
      <c r="B161" t="s">
        <v>420</v>
      </c>
      <c r="C161" t="s">
        <v>15</v>
      </c>
      <c r="D161" t="s">
        <v>16</v>
      </c>
      <c r="E161" s="1">
        <v>45352</v>
      </c>
      <c r="F161" s="24">
        <f t="shared" si="20"/>
        <v>2024</v>
      </c>
      <c r="G161" s="24" t="str">
        <f t="shared" si="21"/>
        <v>March</v>
      </c>
      <c r="H161" s="24" t="str">
        <f t="shared" si="22"/>
        <v>Friday</v>
      </c>
      <c r="I161" s="22">
        <v>0.52032407407407411</v>
      </c>
      <c r="J161" s="24">
        <f t="shared" si="23"/>
        <v>12</v>
      </c>
      <c r="K161" s="24">
        <f t="shared" si="24"/>
        <v>29</v>
      </c>
      <c r="L161" s="24">
        <f t="shared" si="25"/>
        <v>16</v>
      </c>
      <c r="M161" t="s">
        <v>17</v>
      </c>
      <c r="N161" t="s">
        <v>18</v>
      </c>
      <c r="O161" s="24">
        <v>8</v>
      </c>
      <c r="P161" s="11">
        <v>952.11</v>
      </c>
      <c r="Q161" s="26">
        <f>VLOOKUP('Prepared Sales Dataset'!M161,'Product-cost'!A:B,2,FALSE)</f>
        <v>600</v>
      </c>
      <c r="R161" t="s">
        <v>59</v>
      </c>
      <c r="S161" t="s">
        <v>36</v>
      </c>
      <c r="T161" t="s">
        <v>249</v>
      </c>
      <c r="U161" t="s">
        <v>921</v>
      </c>
      <c r="V161" s="17">
        <f>P161*O161</f>
        <v>7616.88</v>
      </c>
      <c r="W161" s="19">
        <f>O161*Q161</f>
        <v>4800</v>
      </c>
      <c r="X161" s="13">
        <f>VLOOKUP(R161,Taxrate!A:B,2,FALSE)</f>
        <v>0.12</v>
      </c>
      <c r="Y161" s="15">
        <f t="shared" si="26"/>
        <v>914.02559999999994</v>
      </c>
      <c r="Z161" s="9">
        <f>VLOOKUP(M161,'Discount Rate'!A:B,2,FALSE)</f>
        <v>0.05</v>
      </c>
      <c r="AA161" s="11">
        <f t="shared" si="27"/>
        <v>380.84400000000005</v>
      </c>
      <c r="AB161" s="15">
        <f t="shared" si="28"/>
        <v>6322.0104000000001</v>
      </c>
      <c r="AC161" s="15">
        <f t="shared" si="29"/>
        <v>1522.0104000000001</v>
      </c>
    </row>
    <row r="162" spans="1:29" x14ac:dyDescent="0.35">
      <c r="A162" t="s">
        <v>421</v>
      </c>
      <c r="B162" t="s">
        <v>422</v>
      </c>
      <c r="C162" t="s">
        <v>128</v>
      </c>
      <c r="D162" t="s">
        <v>63</v>
      </c>
      <c r="E162" s="1">
        <v>45283</v>
      </c>
      <c r="F162" s="24">
        <f t="shared" si="20"/>
        <v>2023</v>
      </c>
      <c r="G162" s="24" t="str">
        <f t="shared" si="21"/>
        <v>December</v>
      </c>
      <c r="H162" s="24" t="str">
        <f t="shared" si="22"/>
        <v>Saturday</v>
      </c>
      <c r="I162" s="22">
        <v>0.62115740740740744</v>
      </c>
      <c r="J162" s="24">
        <f t="shared" si="23"/>
        <v>14</v>
      </c>
      <c r="K162" s="24">
        <f t="shared" si="24"/>
        <v>54</v>
      </c>
      <c r="L162" s="24">
        <f t="shared" si="25"/>
        <v>28</v>
      </c>
      <c r="M162" t="s">
        <v>49</v>
      </c>
      <c r="N162" t="s">
        <v>50</v>
      </c>
      <c r="O162" s="24">
        <v>4</v>
      </c>
      <c r="P162" s="11">
        <v>506</v>
      </c>
      <c r="Q162" s="26">
        <f>VLOOKUP('Prepared Sales Dataset'!M162,'Product-cost'!A:B,2,FALSE)</f>
        <v>150</v>
      </c>
      <c r="R162" t="s">
        <v>55</v>
      </c>
      <c r="S162" t="s">
        <v>64</v>
      </c>
      <c r="U162" t="s">
        <v>923</v>
      </c>
      <c r="V162" s="17">
        <f>P162*O162</f>
        <v>2024</v>
      </c>
      <c r="W162" s="19">
        <f>O162*Q162</f>
        <v>600</v>
      </c>
      <c r="X162" s="13">
        <f>VLOOKUP(R162,Taxrate!A:B,2,FALSE)</f>
        <v>7.0000000000000007E-2</v>
      </c>
      <c r="Y162" s="15">
        <f t="shared" si="26"/>
        <v>141.68</v>
      </c>
      <c r="Z162" s="9">
        <f>VLOOKUP(M162,'Discount Rate'!A:B,2,FALSE)</f>
        <v>7.0000000000000007E-2</v>
      </c>
      <c r="AA162" s="11">
        <f t="shared" si="27"/>
        <v>141.68</v>
      </c>
      <c r="AB162" s="15">
        <f t="shared" si="28"/>
        <v>1740.6399999999999</v>
      </c>
      <c r="AC162" s="15">
        <f t="shared" si="29"/>
        <v>1140.6399999999999</v>
      </c>
    </row>
    <row r="163" spans="1:29" x14ac:dyDescent="0.35">
      <c r="A163" t="s">
        <v>423</v>
      </c>
      <c r="B163" t="s">
        <v>424</v>
      </c>
      <c r="C163" t="s">
        <v>70</v>
      </c>
      <c r="D163" t="s">
        <v>71</v>
      </c>
      <c r="E163" s="1">
        <v>45080</v>
      </c>
      <c r="F163" s="24">
        <f t="shared" si="20"/>
        <v>2023</v>
      </c>
      <c r="G163" s="24" t="str">
        <f t="shared" si="21"/>
        <v>June</v>
      </c>
      <c r="H163" s="24" t="str">
        <f t="shared" si="22"/>
        <v>Saturday</v>
      </c>
      <c r="I163" s="22">
        <v>0.38399305555555557</v>
      </c>
      <c r="J163" s="24">
        <f t="shared" si="23"/>
        <v>9</v>
      </c>
      <c r="K163" s="24">
        <f t="shared" si="24"/>
        <v>12</v>
      </c>
      <c r="L163" s="24">
        <f t="shared" si="25"/>
        <v>57</v>
      </c>
      <c r="M163" t="s">
        <v>78</v>
      </c>
      <c r="N163" t="s">
        <v>79</v>
      </c>
      <c r="O163" s="24">
        <v>2</v>
      </c>
      <c r="P163" s="11">
        <v>182.2</v>
      </c>
      <c r="Q163" s="26">
        <f>VLOOKUP('Prepared Sales Dataset'!M163,'Product-cost'!A:B,2,FALSE)</f>
        <v>50</v>
      </c>
      <c r="R163" t="s">
        <v>28</v>
      </c>
      <c r="S163" t="s">
        <v>73</v>
      </c>
      <c r="T163" t="s">
        <v>231</v>
      </c>
      <c r="U163" t="s">
        <v>922</v>
      </c>
      <c r="V163" s="17">
        <f>P163*O163</f>
        <v>364.4</v>
      </c>
      <c r="W163" s="19">
        <f>O163*Q163</f>
        <v>100</v>
      </c>
      <c r="X163" s="13">
        <f>VLOOKUP(R163,Taxrate!A:B,2,FALSE)</f>
        <v>0.1</v>
      </c>
      <c r="Y163" s="15">
        <f t="shared" si="26"/>
        <v>36.44</v>
      </c>
      <c r="Z163" s="9">
        <f>VLOOKUP(M163,'Discount Rate'!A:B,2,FALSE)</f>
        <v>0.03</v>
      </c>
      <c r="AA163" s="11">
        <f t="shared" si="27"/>
        <v>10.931999999999999</v>
      </c>
      <c r="AB163" s="15">
        <f t="shared" si="28"/>
        <v>317.02799999999996</v>
      </c>
      <c r="AC163" s="15">
        <f t="shared" si="29"/>
        <v>217.02799999999996</v>
      </c>
    </row>
    <row r="164" spans="1:29" x14ac:dyDescent="0.35">
      <c r="A164" t="s">
        <v>425</v>
      </c>
      <c r="B164" t="s">
        <v>426</v>
      </c>
      <c r="C164" t="s">
        <v>106</v>
      </c>
      <c r="D164" t="s">
        <v>107</v>
      </c>
      <c r="E164" s="1">
        <v>45651</v>
      </c>
      <c r="F164" s="24">
        <f t="shared" si="20"/>
        <v>2024</v>
      </c>
      <c r="G164" s="24" t="str">
        <f t="shared" si="21"/>
        <v>December</v>
      </c>
      <c r="H164" s="24" t="str">
        <f t="shared" si="22"/>
        <v>Wednesday</v>
      </c>
      <c r="I164" s="22">
        <v>0.42866898148148147</v>
      </c>
      <c r="J164" s="24">
        <f t="shared" si="23"/>
        <v>10</v>
      </c>
      <c r="K164" s="24">
        <f t="shared" si="24"/>
        <v>17</v>
      </c>
      <c r="L164" s="24">
        <f t="shared" si="25"/>
        <v>17</v>
      </c>
      <c r="M164" t="s">
        <v>78</v>
      </c>
      <c r="N164" t="s">
        <v>79</v>
      </c>
      <c r="O164" s="24">
        <v>1</v>
      </c>
      <c r="P164" s="11">
        <v>166.27</v>
      </c>
      <c r="Q164" s="26">
        <f>VLOOKUP('Prepared Sales Dataset'!M164,'Product-cost'!A:B,2,FALSE)</f>
        <v>50</v>
      </c>
      <c r="R164" t="s">
        <v>28</v>
      </c>
      <c r="S164" t="s">
        <v>112</v>
      </c>
      <c r="T164" t="s">
        <v>249</v>
      </c>
      <c r="U164" t="s">
        <v>921</v>
      </c>
      <c r="V164" s="17">
        <f>P164*O164</f>
        <v>166.27</v>
      </c>
      <c r="W164" s="19">
        <f>O164*Q164</f>
        <v>50</v>
      </c>
      <c r="X164" s="13">
        <f>VLOOKUP(R164,Taxrate!A:B,2,FALSE)</f>
        <v>0.1</v>
      </c>
      <c r="Y164" s="15">
        <f t="shared" si="26"/>
        <v>16.627000000000002</v>
      </c>
      <c r="Z164" s="9">
        <f>VLOOKUP(M164,'Discount Rate'!A:B,2,FALSE)</f>
        <v>0.03</v>
      </c>
      <c r="AA164" s="11">
        <f t="shared" si="27"/>
        <v>4.9881000000000002</v>
      </c>
      <c r="AB164" s="15">
        <f t="shared" si="28"/>
        <v>144.6549</v>
      </c>
      <c r="AC164" s="15">
        <f t="shared" si="29"/>
        <v>94.654899999999998</v>
      </c>
    </row>
    <row r="165" spans="1:29" x14ac:dyDescent="0.35">
      <c r="A165" t="s">
        <v>427</v>
      </c>
      <c r="B165" t="s">
        <v>428</v>
      </c>
      <c r="C165" t="s">
        <v>136</v>
      </c>
      <c r="D165" t="s">
        <v>25</v>
      </c>
      <c r="E165" s="1">
        <v>46218</v>
      </c>
      <c r="F165" s="24">
        <f t="shared" si="20"/>
        <v>2026</v>
      </c>
      <c r="G165" s="24" t="str">
        <f t="shared" si="21"/>
        <v>July</v>
      </c>
      <c r="H165" s="24" t="str">
        <f t="shared" si="22"/>
        <v>Wednesday</v>
      </c>
      <c r="I165" s="22">
        <v>0.61857638888888888</v>
      </c>
      <c r="J165" s="24">
        <f t="shared" si="23"/>
        <v>14</v>
      </c>
      <c r="K165" s="24">
        <f t="shared" si="24"/>
        <v>50</v>
      </c>
      <c r="L165" s="24">
        <f t="shared" si="25"/>
        <v>45</v>
      </c>
      <c r="M165" t="s">
        <v>33</v>
      </c>
      <c r="N165" t="s">
        <v>34</v>
      </c>
      <c r="O165" s="24">
        <v>13</v>
      </c>
      <c r="P165" s="11">
        <v>502.54</v>
      </c>
      <c r="Q165" s="26">
        <f>VLOOKUP('Prepared Sales Dataset'!M165,'Product-cost'!A:B,2,FALSE)</f>
        <v>200</v>
      </c>
      <c r="R165" t="s">
        <v>59</v>
      </c>
      <c r="S165" t="s">
        <v>29</v>
      </c>
      <c r="U165" t="s">
        <v>923</v>
      </c>
      <c r="V165" s="17">
        <f>P165*O165</f>
        <v>6533.02</v>
      </c>
      <c r="W165" s="19">
        <f>O165*Q165</f>
        <v>2600</v>
      </c>
      <c r="X165" s="13">
        <f>VLOOKUP(R165,Taxrate!A:B,2,FALSE)</f>
        <v>0.12</v>
      </c>
      <c r="Y165" s="15">
        <f t="shared" si="26"/>
        <v>783.9624</v>
      </c>
      <c r="Z165" s="9">
        <f>VLOOKUP(M165,'Discount Rate'!A:B,2,FALSE)</f>
        <v>0.08</v>
      </c>
      <c r="AA165" s="11">
        <f t="shared" si="27"/>
        <v>522.64160000000004</v>
      </c>
      <c r="AB165" s="15">
        <f t="shared" si="28"/>
        <v>5226.4160000000002</v>
      </c>
      <c r="AC165" s="15">
        <f t="shared" si="29"/>
        <v>2626.4160000000002</v>
      </c>
    </row>
    <row r="166" spans="1:29" x14ac:dyDescent="0.35">
      <c r="A166" t="s">
        <v>429</v>
      </c>
      <c r="B166" t="s">
        <v>430</v>
      </c>
      <c r="C166" t="s">
        <v>77</v>
      </c>
      <c r="D166" t="s">
        <v>63</v>
      </c>
      <c r="E166" s="1">
        <v>46123</v>
      </c>
      <c r="F166" s="24">
        <f t="shared" si="20"/>
        <v>2026</v>
      </c>
      <c r="G166" s="24" t="str">
        <f t="shared" si="21"/>
        <v>April</v>
      </c>
      <c r="H166" s="24" t="str">
        <f t="shared" si="22"/>
        <v>Saturday</v>
      </c>
      <c r="I166" s="22">
        <v>0.42100694444444442</v>
      </c>
      <c r="J166" s="24">
        <f t="shared" si="23"/>
        <v>10</v>
      </c>
      <c r="K166" s="24">
        <f t="shared" si="24"/>
        <v>6</v>
      </c>
      <c r="L166" s="24">
        <f t="shared" si="25"/>
        <v>15</v>
      </c>
      <c r="M166" t="s">
        <v>26</v>
      </c>
      <c r="N166" t="s">
        <v>27</v>
      </c>
      <c r="O166" s="24">
        <v>14</v>
      </c>
      <c r="P166" s="11">
        <v>701.12</v>
      </c>
      <c r="Q166" s="26">
        <f>VLOOKUP('Prepared Sales Dataset'!M166,'Product-cost'!A:B,2,FALSE)</f>
        <v>300</v>
      </c>
      <c r="R166" t="s">
        <v>35</v>
      </c>
      <c r="S166" t="s">
        <v>241</v>
      </c>
      <c r="T166" t="s">
        <v>125</v>
      </c>
      <c r="U166" t="s">
        <v>921</v>
      </c>
      <c r="V166" s="17">
        <f>P166*O166</f>
        <v>9815.68</v>
      </c>
      <c r="W166" s="19">
        <f>O166*Q166</f>
        <v>4200</v>
      </c>
      <c r="X166" s="13">
        <f>VLOOKUP(R166,Taxrate!A:B,2,FALSE)</f>
        <v>0.2</v>
      </c>
      <c r="Y166" s="15">
        <f t="shared" si="26"/>
        <v>1963.1360000000002</v>
      </c>
      <c r="Z166" s="9">
        <f>VLOOKUP(M166,'Discount Rate'!A:B,2,FALSE)</f>
        <v>0.1</v>
      </c>
      <c r="AA166" s="11">
        <f t="shared" si="27"/>
        <v>981.5680000000001</v>
      </c>
      <c r="AB166" s="15">
        <f t="shared" si="28"/>
        <v>6870.9760000000006</v>
      </c>
      <c r="AC166" s="15">
        <f t="shared" si="29"/>
        <v>2670.9760000000006</v>
      </c>
    </row>
    <row r="167" spans="1:29" x14ac:dyDescent="0.35">
      <c r="A167" t="s">
        <v>431</v>
      </c>
      <c r="B167" t="s">
        <v>432</v>
      </c>
      <c r="C167" t="s">
        <v>40</v>
      </c>
      <c r="D167" t="s">
        <v>41</v>
      </c>
      <c r="E167" s="1">
        <v>46367</v>
      </c>
      <c r="F167" s="24">
        <f t="shared" si="20"/>
        <v>2026</v>
      </c>
      <c r="G167" s="24" t="str">
        <f t="shared" si="21"/>
        <v>December</v>
      </c>
      <c r="H167" s="24" t="str">
        <f t="shared" si="22"/>
        <v>Friday</v>
      </c>
      <c r="I167" s="22">
        <v>0.73343749999999996</v>
      </c>
      <c r="J167" s="24">
        <f t="shared" si="23"/>
        <v>17</v>
      </c>
      <c r="K167" s="24">
        <f t="shared" si="24"/>
        <v>36</v>
      </c>
      <c r="L167" s="24">
        <f t="shared" si="25"/>
        <v>9</v>
      </c>
      <c r="M167" t="s">
        <v>49</v>
      </c>
      <c r="N167" t="s">
        <v>50</v>
      </c>
      <c r="O167" s="24">
        <v>14</v>
      </c>
      <c r="P167" s="11">
        <v>272.98</v>
      </c>
      <c r="Q167" s="26">
        <f>VLOOKUP('Prepared Sales Dataset'!M167,'Product-cost'!A:B,2,FALSE)</f>
        <v>150</v>
      </c>
      <c r="R167" t="s">
        <v>42</v>
      </c>
      <c r="S167" t="s">
        <v>90</v>
      </c>
      <c r="T167" t="s">
        <v>166</v>
      </c>
      <c r="U167" t="s">
        <v>921</v>
      </c>
      <c r="V167" s="17">
        <f>P167*O167</f>
        <v>3821.7200000000003</v>
      </c>
      <c r="W167" s="19">
        <f>O167*Q167</f>
        <v>2100</v>
      </c>
      <c r="X167" s="13">
        <f>VLOOKUP(R167,Taxrate!A:B,2,FALSE)</f>
        <v>0.15</v>
      </c>
      <c r="Y167" s="15">
        <f t="shared" si="26"/>
        <v>573.25800000000004</v>
      </c>
      <c r="Z167" s="9">
        <f>VLOOKUP(M167,'Discount Rate'!A:B,2,FALSE)</f>
        <v>7.0000000000000007E-2</v>
      </c>
      <c r="AA167" s="11">
        <f t="shared" si="27"/>
        <v>267.52040000000005</v>
      </c>
      <c r="AB167" s="15">
        <f t="shared" si="28"/>
        <v>2980.9416000000001</v>
      </c>
      <c r="AC167" s="15">
        <f t="shared" si="29"/>
        <v>880.94160000000011</v>
      </c>
    </row>
    <row r="168" spans="1:29" x14ac:dyDescent="0.35">
      <c r="A168" t="s">
        <v>434</v>
      </c>
      <c r="B168" t="s">
        <v>127</v>
      </c>
      <c r="C168" t="s">
        <v>88</v>
      </c>
      <c r="D168" t="s">
        <v>41</v>
      </c>
      <c r="E168" s="1">
        <v>45339</v>
      </c>
      <c r="F168" s="24">
        <f t="shared" si="20"/>
        <v>2024</v>
      </c>
      <c r="G168" s="24" t="str">
        <f t="shared" si="21"/>
        <v>February</v>
      </c>
      <c r="H168" s="24" t="str">
        <f t="shared" si="22"/>
        <v>Saturday</v>
      </c>
      <c r="I168" s="22">
        <v>0.5730439814814815</v>
      </c>
      <c r="J168" s="24">
        <f t="shared" si="23"/>
        <v>13</v>
      </c>
      <c r="K168" s="24">
        <f t="shared" si="24"/>
        <v>45</v>
      </c>
      <c r="L168" s="24">
        <f t="shared" si="25"/>
        <v>11</v>
      </c>
      <c r="M168" t="s">
        <v>33</v>
      </c>
      <c r="N168" t="s">
        <v>34</v>
      </c>
      <c r="O168" s="24">
        <v>8</v>
      </c>
      <c r="P168" s="11">
        <v>460.94</v>
      </c>
      <c r="Q168" s="26">
        <f>VLOOKUP('Prepared Sales Dataset'!M168,'Product-cost'!A:B,2,FALSE)</f>
        <v>200</v>
      </c>
      <c r="R168" t="s">
        <v>35</v>
      </c>
      <c r="S168" t="s">
        <v>43</v>
      </c>
      <c r="T168" t="s">
        <v>249</v>
      </c>
      <c r="U168" t="s">
        <v>921</v>
      </c>
      <c r="V168" s="17">
        <f>P168*O168</f>
        <v>3687.52</v>
      </c>
      <c r="W168" s="19">
        <f>O168*Q168</f>
        <v>1600</v>
      </c>
      <c r="X168" s="13">
        <f>VLOOKUP(R168,Taxrate!A:B,2,FALSE)</f>
        <v>0.2</v>
      </c>
      <c r="Y168" s="15">
        <f t="shared" si="26"/>
        <v>737.50400000000002</v>
      </c>
      <c r="Z168" s="9">
        <f>VLOOKUP(M168,'Discount Rate'!A:B,2,FALSE)</f>
        <v>0.08</v>
      </c>
      <c r="AA168" s="11">
        <f t="shared" si="27"/>
        <v>295.0016</v>
      </c>
      <c r="AB168" s="15">
        <f t="shared" si="28"/>
        <v>2655.0144</v>
      </c>
      <c r="AC168" s="15">
        <f t="shared" si="29"/>
        <v>1055.0144</v>
      </c>
    </row>
    <row r="169" spans="1:29" x14ac:dyDescent="0.35">
      <c r="A169" t="s">
        <v>435</v>
      </c>
      <c r="B169" t="s">
        <v>436</v>
      </c>
      <c r="C169" t="s">
        <v>88</v>
      </c>
      <c r="D169" t="s">
        <v>41</v>
      </c>
      <c r="E169" s="1">
        <v>45587</v>
      </c>
      <c r="F169" s="24">
        <f t="shared" si="20"/>
        <v>2024</v>
      </c>
      <c r="G169" s="24" t="str">
        <f t="shared" si="21"/>
        <v>October</v>
      </c>
      <c r="H169" s="24" t="str">
        <f t="shared" si="22"/>
        <v>Tuesday</v>
      </c>
      <c r="I169" s="22">
        <v>0.44892361111111112</v>
      </c>
      <c r="J169" s="24">
        <f t="shared" si="23"/>
        <v>10</v>
      </c>
      <c r="K169" s="24">
        <f t="shared" si="24"/>
        <v>46</v>
      </c>
      <c r="L169" s="24">
        <f t="shared" si="25"/>
        <v>27</v>
      </c>
      <c r="M169" t="s">
        <v>78</v>
      </c>
      <c r="N169" t="s">
        <v>79</v>
      </c>
      <c r="O169" s="24">
        <v>3</v>
      </c>
      <c r="P169" s="11">
        <v>162.15</v>
      </c>
      <c r="Q169" s="26">
        <f>VLOOKUP('Prepared Sales Dataset'!M169,'Product-cost'!A:B,2,FALSE)</f>
        <v>50</v>
      </c>
      <c r="R169" t="s">
        <v>59</v>
      </c>
      <c r="S169" t="s">
        <v>437</v>
      </c>
      <c r="T169" t="s">
        <v>125</v>
      </c>
      <c r="U169" t="s">
        <v>921</v>
      </c>
      <c r="V169" s="17">
        <f>P169*O169</f>
        <v>486.45000000000005</v>
      </c>
      <c r="W169" s="19">
        <f>O169*Q169</f>
        <v>150</v>
      </c>
      <c r="X169" s="13">
        <f>VLOOKUP(R169,Taxrate!A:B,2,FALSE)</f>
        <v>0.12</v>
      </c>
      <c r="Y169" s="15">
        <f t="shared" si="26"/>
        <v>58.374000000000002</v>
      </c>
      <c r="Z169" s="9">
        <f>VLOOKUP(M169,'Discount Rate'!A:B,2,FALSE)</f>
        <v>0.03</v>
      </c>
      <c r="AA169" s="11">
        <f t="shared" si="27"/>
        <v>14.593500000000001</v>
      </c>
      <c r="AB169" s="15">
        <f t="shared" si="28"/>
        <v>413.48250000000007</v>
      </c>
      <c r="AC169" s="15">
        <f t="shared" si="29"/>
        <v>263.48250000000007</v>
      </c>
    </row>
    <row r="170" spans="1:29" x14ac:dyDescent="0.35">
      <c r="A170" t="s">
        <v>438</v>
      </c>
      <c r="B170" t="s">
        <v>439</v>
      </c>
      <c r="C170" t="s">
        <v>407</v>
      </c>
      <c r="D170" t="s">
        <v>48</v>
      </c>
      <c r="E170" s="1">
        <v>46100</v>
      </c>
      <c r="F170" s="24">
        <f t="shared" si="20"/>
        <v>2026</v>
      </c>
      <c r="G170" s="24" t="str">
        <f t="shared" si="21"/>
        <v>March</v>
      </c>
      <c r="H170" s="24" t="str">
        <f t="shared" si="22"/>
        <v>Thursday</v>
      </c>
      <c r="I170" s="22">
        <v>0.9094444444444445</v>
      </c>
      <c r="J170" s="24">
        <f t="shared" si="23"/>
        <v>21</v>
      </c>
      <c r="K170" s="24">
        <f t="shared" si="24"/>
        <v>49</v>
      </c>
      <c r="L170" s="24">
        <f t="shared" si="25"/>
        <v>36</v>
      </c>
      <c r="M170" t="s">
        <v>17</v>
      </c>
      <c r="N170" t="s">
        <v>18</v>
      </c>
      <c r="O170" s="24">
        <v>6</v>
      </c>
      <c r="P170" s="11">
        <v>1283.77</v>
      </c>
      <c r="Q170" s="26">
        <f>VLOOKUP('Prepared Sales Dataset'!M170,'Product-cost'!A:B,2,FALSE)</f>
        <v>600</v>
      </c>
      <c r="R170" t="s">
        <v>35</v>
      </c>
      <c r="S170" t="s">
        <v>94</v>
      </c>
      <c r="T170" t="s">
        <v>133</v>
      </c>
      <c r="U170" t="s">
        <v>921</v>
      </c>
      <c r="V170" s="17">
        <f>P170*O170</f>
        <v>7702.62</v>
      </c>
      <c r="W170" s="19">
        <f>O170*Q170</f>
        <v>3600</v>
      </c>
      <c r="X170" s="13">
        <f>VLOOKUP(R170,Taxrate!A:B,2,FALSE)</f>
        <v>0.2</v>
      </c>
      <c r="Y170" s="15">
        <f t="shared" si="26"/>
        <v>1540.5240000000001</v>
      </c>
      <c r="Z170" s="9">
        <f>VLOOKUP(M170,'Discount Rate'!A:B,2,FALSE)</f>
        <v>0.05</v>
      </c>
      <c r="AA170" s="11">
        <f t="shared" si="27"/>
        <v>385.13100000000003</v>
      </c>
      <c r="AB170" s="15">
        <f t="shared" si="28"/>
        <v>5776.9650000000001</v>
      </c>
      <c r="AC170" s="15">
        <f t="shared" si="29"/>
        <v>2176.9650000000001</v>
      </c>
    </row>
    <row r="171" spans="1:29" x14ac:dyDescent="0.35">
      <c r="A171" t="s">
        <v>440</v>
      </c>
      <c r="B171" t="s">
        <v>441</v>
      </c>
      <c r="C171" t="s">
        <v>70</v>
      </c>
      <c r="D171" t="s">
        <v>71</v>
      </c>
      <c r="E171" s="1">
        <v>45841</v>
      </c>
      <c r="F171" s="24">
        <f t="shared" si="20"/>
        <v>2025</v>
      </c>
      <c r="G171" s="24" t="str">
        <f t="shared" si="21"/>
        <v>July</v>
      </c>
      <c r="H171" s="24" t="str">
        <f t="shared" si="22"/>
        <v>Thursday</v>
      </c>
      <c r="I171" s="22">
        <v>0.50920138888888888</v>
      </c>
      <c r="J171" s="24">
        <f t="shared" si="23"/>
        <v>12</v>
      </c>
      <c r="K171" s="24">
        <f t="shared" si="24"/>
        <v>13</v>
      </c>
      <c r="L171" s="24">
        <f t="shared" si="25"/>
        <v>15</v>
      </c>
      <c r="M171" t="s">
        <v>17</v>
      </c>
      <c r="N171" t="s">
        <v>18</v>
      </c>
      <c r="O171" s="24">
        <v>13</v>
      </c>
      <c r="P171" s="11">
        <v>506</v>
      </c>
      <c r="Q171" s="26">
        <f>VLOOKUP('Prepared Sales Dataset'!M171,'Product-cost'!A:B,2,FALSE)</f>
        <v>600</v>
      </c>
      <c r="R171" t="s">
        <v>55</v>
      </c>
      <c r="S171" t="s">
        <v>73</v>
      </c>
      <c r="T171" t="s">
        <v>125</v>
      </c>
      <c r="U171" t="s">
        <v>921</v>
      </c>
      <c r="V171" s="17">
        <f>P171*O171</f>
        <v>6578</v>
      </c>
      <c r="W171" s="19">
        <f>O171*Q171</f>
        <v>7800</v>
      </c>
      <c r="X171" s="13">
        <f>VLOOKUP(R171,Taxrate!A:B,2,FALSE)</f>
        <v>7.0000000000000007E-2</v>
      </c>
      <c r="Y171" s="15">
        <f t="shared" si="26"/>
        <v>460.46000000000004</v>
      </c>
      <c r="Z171" s="9">
        <f>VLOOKUP(M171,'Discount Rate'!A:B,2,FALSE)</f>
        <v>0.05</v>
      </c>
      <c r="AA171" s="11">
        <f t="shared" si="27"/>
        <v>328.90000000000003</v>
      </c>
      <c r="AB171" s="15">
        <f t="shared" si="28"/>
        <v>5788.6399999999994</v>
      </c>
      <c r="AC171" s="15">
        <f t="shared" si="29"/>
        <v>-2011.3600000000006</v>
      </c>
    </row>
    <row r="172" spans="1:29" x14ac:dyDescent="0.35">
      <c r="A172" t="s">
        <v>442</v>
      </c>
      <c r="B172" t="s">
        <v>443</v>
      </c>
      <c r="C172" t="s">
        <v>169</v>
      </c>
      <c r="D172" t="s">
        <v>170</v>
      </c>
      <c r="E172" s="1">
        <v>45908</v>
      </c>
      <c r="F172" s="24">
        <f t="shared" si="20"/>
        <v>2025</v>
      </c>
      <c r="G172" s="24" t="str">
        <f t="shared" si="21"/>
        <v>September</v>
      </c>
      <c r="H172" s="24" t="str">
        <f t="shared" si="22"/>
        <v>Monday</v>
      </c>
      <c r="I172" s="22">
        <v>0.43615740740740738</v>
      </c>
      <c r="J172" s="24">
        <f t="shared" si="23"/>
        <v>10</v>
      </c>
      <c r="K172" s="24">
        <f t="shared" si="24"/>
        <v>28</v>
      </c>
      <c r="L172" s="24">
        <f t="shared" si="25"/>
        <v>4</v>
      </c>
      <c r="M172" t="s">
        <v>17</v>
      </c>
      <c r="N172" t="s">
        <v>18</v>
      </c>
      <c r="O172" s="24">
        <v>6</v>
      </c>
      <c r="P172" s="11">
        <v>852.36</v>
      </c>
      <c r="Q172" s="26">
        <f>VLOOKUP('Prepared Sales Dataset'!M172,'Product-cost'!A:B,2,FALSE)</f>
        <v>600</v>
      </c>
      <c r="R172" t="s">
        <v>28</v>
      </c>
      <c r="S172" t="s">
        <v>272</v>
      </c>
      <c r="T172" t="s">
        <v>249</v>
      </c>
      <c r="U172" t="s">
        <v>921</v>
      </c>
      <c r="V172" s="17">
        <f>P172*O172</f>
        <v>5114.16</v>
      </c>
      <c r="W172" s="19">
        <f>O172*Q172</f>
        <v>3600</v>
      </c>
      <c r="X172" s="13">
        <f>VLOOKUP(R172,Taxrate!A:B,2,FALSE)</f>
        <v>0.1</v>
      </c>
      <c r="Y172" s="15">
        <f t="shared" si="26"/>
        <v>511.416</v>
      </c>
      <c r="Z172" s="9">
        <f>VLOOKUP(M172,'Discount Rate'!A:B,2,FALSE)</f>
        <v>0.05</v>
      </c>
      <c r="AA172" s="11">
        <f t="shared" si="27"/>
        <v>255.708</v>
      </c>
      <c r="AB172" s="15">
        <f t="shared" si="28"/>
        <v>4347.0360000000001</v>
      </c>
      <c r="AC172" s="15">
        <f t="shared" si="29"/>
        <v>747.03600000000006</v>
      </c>
    </row>
    <row r="173" spans="1:29" x14ac:dyDescent="0.35">
      <c r="A173" t="s">
        <v>444</v>
      </c>
      <c r="B173" t="s">
        <v>445</v>
      </c>
      <c r="C173" t="s">
        <v>407</v>
      </c>
      <c r="D173" t="s">
        <v>48</v>
      </c>
      <c r="E173" s="1">
        <v>46265</v>
      </c>
      <c r="F173" s="24">
        <f t="shared" si="20"/>
        <v>2026</v>
      </c>
      <c r="G173" s="24" t="str">
        <f t="shared" si="21"/>
        <v>August</v>
      </c>
      <c r="H173" s="24" t="str">
        <f t="shared" si="22"/>
        <v>Monday</v>
      </c>
      <c r="I173" s="22">
        <v>0.74753472222222217</v>
      </c>
      <c r="J173" s="24">
        <f t="shared" si="23"/>
        <v>17</v>
      </c>
      <c r="K173" s="24">
        <f t="shared" si="24"/>
        <v>56</v>
      </c>
      <c r="L173" s="24">
        <f t="shared" si="25"/>
        <v>27</v>
      </c>
      <c r="M173" t="s">
        <v>26</v>
      </c>
      <c r="N173" t="s">
        <v>27</v>
      </c>
      <c r="O173" s="24">
        <v>8</v>
      </c>
      <c r="P173" s="11">
        <v>772.32</v>
      </c>
      <c r="Q173" s="26">
        <f>VLOOKUP('Prepared Sales Dataset'!M173,'Product-cost'!A:B,2,FALSE)</f>
        <v>300</v>
      </c>
      <c r="R173" t="s">
        <v>42</v>
      </c>
      <c r="S173" t="s">
        <v>51</v>
      </c>
      <c r="T173" t="s">
        <v>133</v>
      </c>
      <c r="U173" t="s">
        <v>921</v>
      </c>
      <c r="V173" s="17">
        <f>P173*O173</f>
        <v>6178.56</v>
      </c>
      <c r="W173" s="19">
        <f>O173*Q173</f>
        <v>2400</v>
      </c>
      <c r="X173" s="13">
        <f>VLOOKUP(R173,Taxrate!A:B,2,FALSE)</f>
        <v>0.15</v>
      </c>
      <c r="Y173" s="15">
        <f t="shared" si="26"/>
        <v>926.78399999999999</v>
      </c>
      <c r="Z173" s="9">
        <f>VLOOKUP(M173,'Discount Rate'!A:B,2,FALSE)</f>
        <v>0.1</v>
      </c>
      <c r="AA173" s="11">
        <f t="shared" si="27"/>
        <v>617.85600000000011</v>
      </c>
      <c r="AB173" s="15">
        <f t="shared" si="28"/>
        <v>4633.92</v>
      </c>
      <c r="AC173" s="15">
        <f t="shared" si="29"/>
        <v>2233.92</v>
      </c>
    </row>
    <row r="174" spans="1:29" x14ac:dyDescent="0.35">
      <c r="A174" t="s">
        <v>446</v>
      </c>
      <c r="B174" t="s">
        <v>447</v>
      </c>
      <c r="C174" t="s">
        <v>179</v>
      </c>
      <c r="D174" t="s">
        <v>41</v>
      </c>
      <c r="E174" s="1">
        <v>45241</v>
      </c>
      <c r="F174" s="24">
        <f t="shared" si="20"/>
        <v>2023</v>
      </c>
      <c r="G174" s="24" t="str">
        <f t="shared" si="21"/>
        <v>November</v>
      </c>
      <c r="H174" s="24" t="str">
        <f t="shared" si="22"/>
        <v>Saturday</v>
      </c>
      <c r="I174" s="22">
        <v>0.54197916666666668</v>
      </c>
      <c r="J174" s="24">
        <f t="shared" si="23"/>
        <v>13</v>
      </c>
      <c r="K174" s="24">
        <f t="shared" si="24"/>
        <v>0</v>
      </c>
      <c r="L174" s="24">
        <f t="shared" si="25"/>
        <v>27</v>
      </c>
      <c r="M174" t="s">
        <v>17</v>
      </c>
      <c r="N174" t="s">
        <v>18</v>
      </c>
      <c r="O174" s="24">
        <v>11</v>
      </c>
      <c r="P174" s="11">
        <v>1040.1600000000001</v>
      </c>
      <c r="Q174" s="26">
        <f>VLOOKUP('Prepared Sales Dataset'!M174,'Product-cost'!A:B,2,FALSE)</f>
        <v>600</v>
      </c>
      <c r="R174" t="s">
        <v>55</v>
      </c>
      <c r="S174" t="s">
        <v>43</v>
      </c>
      <c r="T174" t="s">
        <v>249</v>
      </c>
      <c r="U174" t="s">
        <v>921</v>
      </c>
      <c r="V174" s="17">
        <f>P174*O174</f>
        <v>11441.76</v>
      </c>
      <c r="W174" s="19">
        <f>O174*Q174</f>
        <v>6600</v>
      </c>
      <c r="X174" s="13">
        <f>VLOOKUP(R174,Taxrate!A:B,2,FALSE)</f>
        <v>7.0000000000000007E-2</v>
      </c>
      <c r="Y174" s="15">
        <f t="shared" si="26"/>
        <v>800.92320000000007</v>
      </c>
      <c r="Z174" s="9">
        <f>VLOOKUP(M174,'Discount Rate'!A:B,2,FALSE)</f>
        <v>0.05</v>
      </c>
      <c r="AA174" s="11">
        <f t="shared" si="27"/>
        <v>572.08800000000008</v>
      </c>
      <c r="AB174" s="15">
        <f t="shared" si="28"/>
        <v>10068.748799999999</v>
      </c>
      <c r="AC174" s="15">
        <f t="shared" si="29"/>
        <v>3468.7487999999994</v>
      </c>
    </row>
    <row r="175" spans="1:29" x14ac:dyDescent="0.35">
      <c r="A175" t="s">
        <v>448</v>
      </c>
      <c r="B175" t="s">
        <v>449</v>
      </c>
      <c r="C175" t="s">
        <v>77</v>
      </c>
      <c r="D175" t="s">
        <v>63</v>
      </c>
      <c r="E175" s="1">
        <v>45113</v>
      </c>
      <c r="F175" s="24">
        <f t="shared" si="20"/>
        <v>2023</v>
      </c>
      <c r="G175" s="24" t="str">
        <f t="shared" si="21"/>
        <v>July</v>
      </c>
      <c r="H175" s="24" t="str">
        <f t="shared" si="22"/>
        <v>Thursday</v>
      </c>
      <c r="I175" s="22">
        <v>0.43328703703703703</v>
      </c>
      <c r="J175" s="24">
        <f t="shared" si="23"/>
        <v>10</v>
      </c>
      <c r="K175" s="24">
        <f t="shared" si="24"/>
        <v>23</v>
      </c>
      <c r="L175" s="24">
        <f t="shared" si="25"/>
        <v>56</v>
      </c>
      <c r="M175" t="s">
        <v>78</v>
      </c>
      <c r="N175" t="s">
        <v>79</v>
      </c>
      <c r="O175" s="24">
        <v>8</v>
      </c>
      <c r="P175" s="11">
        <v>506</v>
      </c>
      <c r="Q175" s="26">
        <f>VLOOKUP('Prepared Sales Dataset'!M175,'Product-cost'!A:B,2,FALSE)</f>
        <v>50</v>
      </c>
      <c r="R175" t="s">
        <v>42</v>
      </c>
      <c r="S175" t="s">
        <v>241</v>
      </c>
      <c r="T175" t="s">
        <v>166</v>
      </c>
      <c r="U175" t="s">
        <v>921</v>
      </c>
      <c r="V175" s="17">
        <f>P175*O175</f>
        <v>4048</v>
      </c>
      <c r="W175" s="19">
        <f>O175*Q175</f>
        <v>400</v>
      </c>
      <c r="X175" s="13">
        <f>VLOOKUP(R175,Taxrate!A:B,2,FALSE)</f>
        <v>0.15</v>
      </c>
      <c r="Y175" s="15">
        <f t="shared" si="26"/>
        <v>607.19999999999993</v>
      </c>
      <c r="Z175" s="9">
        <f>VLOOKUP(M175,'Discount Rate'!A:B,2,FALSE)</f>
        <v>0.03</v>
      </c>
      <c r="AA175" s="11">
        <f t="shared" si="27"/>
        <v>121.44</v>
      </c>
      <c r="AB175" s="15">
        <f t="shared" si="28"/>
        <v>3319.36</v>
      </c>
      <c r="AC175" s="15">
        <f t="shared" si="29"/>
        <v>2919.36</v>
      </c>
    </row>
    <row r="176" spans="1:29" x14ac:dyDescent="0.35">
      <c r="A176" t="s">
        <v>450</v>
      </c>
      <c r="B176" t="s">
        <v>451</v>
      </c>
      <c r="C176" t="s">
        <v>40</v>
      </c>
      <c r="D176" t="s">
        <v>41</v>
      </c>
      <c r="E176" s="1">
        <v>46134</v>
      </c>
      <c r="F176" s="24">
        <f t="shared" si="20"/>
        <v>2026</v>
      </c>
      <c r="G176" s="24" t="str">
        <f t="shared" si="21"/>
        <v>April</v>
      </c>
      <c r="H176" s="24" t="str">
        <f t="shared" si="22"/>
        <v>Wednesday</v>
      </c>
      <c r="I176" s="22">
        <v>0.6693634259259259</v>
      </c>
      <c r="J176" s="24">
        <f t="shared" si="23"/>
        <v>16</v>
      </c>
      <c r="K176" s="24">
        <f t="shared" si="24"/>
        <v>3</v>
      </c>
      <c r="L176" s="24">
        <f t="shared" si="25"/>
        <v>53</v>
      </c>
      <c r="M176" t="s">
        <v>78</v>
      </c>
      <c r="N176" t="s">
        <v>79</v>
      </c>
      <c r="O176" s="24">
        <v>7</v>
      </c>
      <c r="P176" s="11">
        <v>171.53</v>
      </c>
      <c r="Q176" s="26">
        <f>VLOOKUP('Prepared Sales Dataset'!M176,'Product-cost'!A:B,2,FALSE)</f>
        <v>50</v>
      </c>
      <c r="R176" t="s">
        <v>42</v>
      </c>
      <c r="S176" t="s">
        <v>43</v>
      </c>
      <c r="T176" t="s">
        <v>142</v>
      </c>
      <c r="U176" t="s">
        <v>921</v>
      </c>
      <c r="V176" s="17">
        <f>P176*O176</f>
        <v>1200.71</v>
      </c>
      <c r="W176" s="19">
        <f>O176*Q176</f>
        <v>350</v>
      </c>
      <c r="X176" s="13">
        <f>VLOOKUP(R176,Taxrate!A:B,2,FALSE)</f>
        <v>0.15</v>
      </c>
      <c r="Y176" s="15">
        <f t="shared" si="26"/>
        <v>180.10650000000001</v>
      </c>
      <c r="Z176" s="9">
        <f>VLOOKUP(M176,'Discount Rate'!A:B,2,FALSE)</f>
        <v>0.03</v>
      </c>
      <c r="AA176" s="11">
        <f t="shared" si="27"/>
        <v>36.021299999999997</v>
      </c>
      <c r="AB176" s="15">
        <f t="shared" si="28"/>
        <v>984.58220000000006</v>
      </c>
      <c r="AC176" s="15">
        <f t="shared" si="29"/>
        <v>634.58220000000006</v>
      </c>
    </row>
    <row r="177" spans="1:29" x14ac:dyDescent="0.35">
      <c r="A177" t="s">
        <v>452</v>
      </c>
      <c r="B177" t="s">
        <v>453</v>
      </c>
      <c r="C177" t="s">
        <v>179</v>
      </c>
      <c r="D177" t="s">
        <v>41</v>
      </c>
      <c r="E177" s="1">
        <v>45173</v>
      </c>
      <c r="F177" s="24">
        <f t="shared" si="20"/>
        <v>2023</v>
      </c>
      <c r="G177" s="24" t="str">
        <f t="shared" si="21"/>
        <v>September</v>
      </c>
      <c r="H177" s="24" t="str">
        <f t="shared" si="22"/>
        <v>Monday</v>
      </c>
      <c r="I177" s="22">
        <v>0.42376157407407405</v>
      </c>
      <c r="J177" s="24">
        <f t="shared" si="23"/>
        <v>10</v>
      </c>
      <c r="K177" s="24">
        <f t="shared" si="24"/>
        <v>10</v>
      </c>
      <c r="L177" s="24">
        <f t="shared" si="25"/>
        <v>13</v>
      </c>
      <c r="M177" t="s">
        <v>26</v>
      </c>
      <c r="N177" t="s">
        <v>27</v>
      </c>
      <c r="O177" s="24">
        <v>7</v>
      </c>
      <c r="P177" s="11">
        <v>506</v>
      </c>
      <c r="Q177" s="26">
        <f>VLOOKUP('Prepared Sales Dataset'!M177,'Product-cost'!A:B,2,FALSE)</f>
        <v>300</v>
      </c>
      <c r="R177" t="s">
        <v>42</v>
      </c>
      <c r="S177" t="s">
        <v>90</v>
      </c>
      <c r="U177" t="s">
        <v>923</v>
      </c>
      <c r="V177" s="17">
        <f>P177*O177</f>
        <v>3542</v>
      </c>
      <c r="W177" s="19">
        <f>O177*Q177</f>
        <v>2100</v>
      </c>
      <c r="X177" s="13">
        <f>VLOOKUP(R177,Taxrate!A:B,2,FALSE)</f>
        <v>0.15</v>
      </c>
      <c r="Y177" s="15">
        <f t="shared" si="26"/>
        <v>531.29999999999995</v>
      </c>
      <c r="Z177" s="9">
        <f>VLOOKUP(M177,'Discount Rate'!A:B,2,FALSE)</f>
        <v>0.1</v>
      </c>
      <c r="AA177" s="11">
        <f t="shared" si="27"/>
        <v>354.20000000000005</v>
      </c>
      <c r="AB177" s="15">
        <f t="shared" si="28"/>
        <v>2656.5</v>
      </c>
      <c r="AC177" s="15">
        <f t="shared" si="29"/>
        <v>556.5</v>
      </c>
    </row>
    <row r="178" spans="1:29" x14ac:dyDescent="0.35">
      <c r="A178" t="s">
        <v>454</v>
      </c>
      <c r="B178" t="s">
        <v>455</v>
      </c>
      <c r="C178" t="s">
        <v>169</v>
      </c>
      <c r="D178" t="s">
        <v>170</v>
      </c>
      <c r="E178" s="1">
        <v>46057</v>
      </c>
      <c r="F178" s="24">
        <f t="shared" si="20"/>
        <v>2026</v>
      </c>
      <c r="G178" s="24" t="str">
        <f t="shared" si="21"/>
        <v>February</v>
      </c>
      <c r="H178" s="24" t="str">
        <f t="shared" si="22"/>
        <v>Wednesday</v>
      </c>
      <c r="I178" s="22">
        <v>0.88718750000000002</v>
      </c>
      <c r="J178" s="24">
        <f t="shared" si="23"/>
        <v>21</v>
      </c>
      <c r="K178" s="24">
        <f t="shared" si="24"/>
        <v>17</v>
      </c>
      <c r="L178" s="24">
        <f t="shared" si="25"/>
        <v>33</v>
      </c>
      <c r="M178" t="s">
        <v>78</v>
      </c>
      <c r="N178" t="s">
        <v>79</v>
      </c>
      <c r="O178" s="24">
        <v>1</v>
      </c>
      <c r="P178" s="11">
        <v>166.73</v>
      </c>
      <c r="Q178" s="26">
        <f>VLOOKUP('Prepared Sales Dataset'!M178,'Product-cost'!A:B,2,FALSE)</f>
        <v>50</v>
      </c>
      <c r="R178" t="s">
        <v>59</v>
      </c>
      <c r="S178" t="s">
        <v>171</v>
      </c>
      <c r="T178" t="s">
        <v>37</v>
      </c>
      <c r="U178" t="s">
        <v>921</v>
      </c>
      <c r="V178" s="17">
        <f>P178*O178</f>
        <v>166.73</v>
      </c>
      <c r="W178" s="19">
        <f>O178*Q178</f>
        <v>50</v>
      </c>
      <c r="X178" s="13">
        <f>VLOOKUP(R178,Taxrate!A:B,2,FALSE)</f>
        <v>0.12</v>
      </c>
      <c r="Y178" s="15">
        <f t="shared" si="26"/>
        <v>20.007599999999996</v>
      </c>
      <c r="Z178" s="9">
        <f>VLOOKUP(M178,'Discount Rate'!A:B,2,FALSE)</f>
        <v>0.03</v>
      </c>
      <c r="AA178" s="11">
        <f t="shared" si="27"/>
        <v>5.0018999999999991</v>
      </c>
      <c r="AB178" s="15">
        <f t="shared" si="28"/>
        <v>141.72049999999999</v>
      </c>
      <c r="AC178" s="15">
        <f t="shared" si="29"/>
        <v>91.720499999999987</v>
      </c>
    </row>
    <row r="179" spans="1:29" x14ac:dyDescent="0.35">
      <c r="A179" t="s">
        <v>456</v>
      </c>
      <c r="B179" t="s">
        <v>457</v>
      </c>
      <c r="C179" t="s">
        <v>67</v>
      </c>
      <c r="D179" t="s">
        <v>16</v>
      </c>
      <c r="E179" s="1">
        <v>45768</v>
      </c>
      <c r="F179" s="24">
        <f t="shared" si="20"/>
        <v>2025</v>
      </c>
      <c r="G179" s="24" t="str">
        <f t="shared" si="21"/>
        <v>April</v>
      </c>
      <c r="H179" s="24" t="str">
        <f t="shared" si="22"/>
        <v>Monday</v>
      </c>
      <c r="I179" s="22">
        <v>0.61216435185185181</v>
      </c>
      <c r="J179" s="24">
        <f t="shared" si="23"/>
        <v>14</v>
      </c>
      <c r="K179" s="24">
        <f t="shared" si="24"/>
        <v>41</v>
      </c>
      <c r="L179" s="24">
        <f t="shared" si="25"/>
        <v>31</v>
      </c>
      <c r="M179" t="s">
        <v>49</v>
      </c>
      <c r="N179" t="s">
        <v>50</v>
      </c>
      <c r="O179" s="24">
        <v>1</v>
      </c>
      <c r="P179" s="11">
        <v>220.33</v>
      </c>
      <c r="Q179" s="26">
        <f>VLOOKUP('Prepared Sales Dataset'!M179,'Product-cost'!A:B,2,FALSE)</f>
        <v>150</v>
      </c>
      <c r="R179" t="s">
        <v>59</v>
      </c>
      <c r="S179" t="s">
        <v>20</v>
      </c>
      <c r="T179" t="s">
        <v>133</v>
      </c>
      <c r="U179" t="s">
        <v>921</v>
      </c>
      <c r="V179" s="17">
        <f>P179*O179</f>
        <v>220.33</v>
      </c>
      <c r="W179" s="19">
        <f>O179*Q179</f>
        <v>150</v>
      </c>
      <c r="X179" s="13">
        <f>VLOOKUP(R179,Taxrate!A:B,2,FALSE)</f>
        <v>0.12</v>
      </c>
      <c r="Y179" s="15">
        <f t="shared" si="26"/>
        <v>26.439600000000002</v>
      </c>
      <c r="Z179" s="9">
        <f>VLOOKUP(M179,'Discount Rate'!A:B,2,FALSE)</f>
        <v>7.0000000000000007E-2</v>
      </c>
      <c r="AA179" s="11">
        <f t="shared" si="27"/>
        <v>15.423100000000002</v>
      </c>
      <c r="AB179" s="15">
        <f t="shared" si="28"/>
        <v>178.46730000000002</v>
      </c>
      <c r="AC179" s="15">
        <f t="shared" si="29"/>
        <v>28.467300000000023</v>
      </c>
    </row>
    <row r="180" spans="1:29" x14ac:dyDescent="0.35">
      <c r="A180" t="s">
        <v>458</v>
      </c>
      <c r="B180" t="s">
        <v>459</v>
      </c>
      <c r="C180" t="s">
        <v>40</v>
      </c>
      <c r="D180" t="s">
        <v>41</v>
      </c>
      <c r="E180" s="1">
        <v>45618</v>
      </c>
      <c r="F180" s="24">
        <f t="shared" si="20"/>
        <v>2024</v>
      </c>
      <c r="G180" s="24" t="str">
        <f t="shared" si="21"/>
        <v>November</v>
      </c>
      <c r="H180" s="24" t="str">
        <f t="shared" si="22"/>
        <v>Friday</v>
      </c>
      <c r="I180" s="22">
        <v>0.51241898148148146</v>
      </c>
      <c r="J180" s="24">
        <f t="shared" si="23"/>
        <v>12</v>
      </c>
      <c r="K180" s="24">
        <f t="shared" si="24"/>
        <v>17</v>
      </c>
      <c r="L180" s="24">
        <f t="shared" si="25"/>
        <v>53</v>
      </c>
      <c r="M180" t="s">
        <v>78</v>
      </c>
      <c r="N180" t="s">
        <v>79</v>
      </c>
      <c r="O180" s="24">
        <v>11</v>
      </c>
      <c r="P180" s="11">
        <v>506</v>
      </c>
      <c r="Q180" s="26">
        <f>VLOOKUP('Prepared Sales Dataset'!M180,'Product-cost'!A:B,2,FALSE)</f>
        <v>50</v>
      </c>
      <c r="R180" t="s">
        <v>35</v>
      </c>
      <c r="S180" t="s">
        <v>90</v>
      </c>
      <c r="T180" t="s">
        <v>133</v>
      </c>
      <c r="U180" t="s">
        <v>921</v>
      </c>
      <c r="V180" s="17">
        <f>P180*O180</f>
        <v>5566</v>
      </c>
      <c r="W180" s="19">
        <f>O180*Q180</f>
        <v>550</v>
      </c>
      <c r="X180" s="13">
        <f>VLOOKUP(R180,Taxrate!A:B,2,FALSE)</f>
        <v>0.2</v>
      </c>
      <c r="Y180" s="15">
        <f t="shared" si="26"/>
        <v>1113.2</v>
      </c>
      <c r="Z180" s="9">
        <f>VLOOKUP(M180,'Discount Rate'!A:B,2,FALSE)</f>
        <v>0.03</v>
      </c>
      <c r="AA180" s="11">
        <f t="shared" si="27"/>
        <v>166.98</v>
      </c>
      <c r="AB180" s="15">
        <f t="shared" si="28"/>
        <v>4285.82</v>
      </c>
      <c r="AC180" s="15">
        <f t="shared" si="29"/>
        <v>3735.8199999999997</v>
      </c>
    </row>
    <row r="181" spans="1:29" x14ac:dyDescent="0.35">
      <c r="A181" t="s">
        <v>460</v>
      </c>
      <c r="B181" t="s">
        <v>461</v>
      </c>
      <c r="C181" t="s">
        <v>150</v>
      </c>
      <c r="D181" t="s">
        <v>25</v>
      </c>
      <c r="E181" s="1">
        <v>45760</v>
      </c>
      <c r="F181" s="24">
        <f t="shared" si="20"/>
        <v>2025</v>
      </c>
      <c r="G181" s="24" t="str">
        <f t="shared" si="21"/>
        <v>April</v>
      </c>
      <c r="H181" s="24" t="str">
        <f t="shared" si="22"/>
        <v>Sunday</v>
      </c>
      <c r="I181" s="22">
        <v>0.85688657407407409</v>
      </c>
      <c r="J181" s="24">
        <f t="shared" si="23"/>
        <v>20</v>
      </c>
      <c r="K181" s="24">
        <f t="shared" si="24"/>
        <v>33</v>
      </c>
      <c r="L181" s="24">
        <f t="shared" si="25"/>
        <v>55</v>
      </c>
      <c r="M181" t="s">
        <v>33</v>
      </c>
      <c r="N181" t="s">
        <v>34</v>
      </c>
      <c r="O181" s="24">
        <v>9</v>
      </c>
      <c r="P181" s="11">
        <v>333.12</v>
      </c>
      <c r="Q181" s="26">
        <f>VLOOKUP('Prepared Sales Dataset'!M181,'Product-cost'!A:B,2,FALSE)</f>
        <v>200</v>
      </c>
      <c r="R181" t="s">
        <v>59</v>
      </c>
      <c r="S181" t="s">
        <v>155</v>
      </c>
      <c r="T181" t="s">
        <v>21</v>
      </c>
      <c r="U181" t="s">
        <v>921</v>
      </c>
      <c r="V181" s="17">
        <f>P181*O181</f>
        <v>2998.08</v>
      </c>
      <c r="W181" s="19">
        <f>O181*Q181</f>
        <v>1800</v>
      </c>
      <c r="X181" s="13">
        <f>VLOOKUP(R181,Taxrate!A:B,2,FALSE)</f>
        <v>0.12</v>
      </c>
      <c r="Y181" s="15">
        <f t="shared" si="26"/>
        <v>359.76959999999997</v>
      </c>
      <c r="Z181" s="9">
        <f>VLOOKUP(M181,'Discount Rate'!A:B,2,FALSE)</f>
        <v>0.08</v>
      </c>
      <c r="AA181" s="11">
        <f t="shared" si="27"/>
        <v>239.84639999999999</v>
      </c>
      <c r="AB181" s="15">
        <f t="shared" si="28"/>
        <v>2398.4639999999999</v>
      </c>
      <c r="AC181" s="15">
        <f t="shared" si="29"/>
        <v>598.46399999999994</v>
      </c>
    </row>
    <row r="182" spans="1:29" x14ac:dyDescent="0.35">
      <c r="A182" t="s">
        <v>462</v>
      </c>
      <c r="B182" t="s">
        <v>463</v>
      </c>
      <c r="C182" t="s">
        <v>24</v>
      </c>
      <c r="D182" t="s">
        <v>25</v>
      </c>
      <c r="E182" s="1">
        <v>45861</v>
      </c>
      <c r="F182" s="24">
        <f t="shared" si="20"/>
        <v>2025</v>
      </c>
      <c r="G182" s="24" t="str">
        <f t="shared" si="21"/>
        <v>July</v>
      </c>
      <c r="H182" s="24" t="str">
        <f t="shared" si="22"/>
        <v>Wednesday</v>
      </c>
      <c r="I182" s="22">
        <v>0.57305555555555554</v>
      </c>
      <c r="J182" s="24">
        <f t="shared" si="23"/>
        <v>13</v>
      </c>
      <c r="K182" s="24">
        <f t="shared" si="24"/>
        <v>45</v>
      </c>
      <c r="L182" s="24">
        <f t="shared" si="25"/>
        <v>12</v>
      </c>
      <c r="M182" t="s">
        <v>33</v>
      </c>
      <c r="N182" t="s">
        <v>34</v>
      </c>
      <c r="O182" s="24">
        <v>8</v>
      </c>
      <c r="P182" s="11">
        <v>447.08</v>
      </c>
      <c r="Q182" s="26">
        <f>VLOOKUP('Prepared Sales Dataset'!M182,'Product-cost'!A:B,2,FALSE)</f>
        <v>200</v>
      </c>
      <c r="R182" t="s">
        <v>55</v>
      </c>
      <c r="S182" t="s">
        <v>56</v>
      </c>
      <c r="T182" t="s">
        <v>95</v>
      </c>
      <c r="U182" t="s">
        <v>921</v>
      </c>
      <c r="V182" s="17">
        <f>P182*O182</f>
        <v>3576.64</v>
      </c>
      <c r="W182" s="19">
        <f>O182*Q182</f>
        <v>1600</v>
      </c>
      <c r="X182" s="13">
        <f>VLOOKUP(R182,Taxrate!A:B,2,FALSE)</f>
        <v>7.0000000000000007E-2</v>
      </c>
      <c r="Y182" s="15">
        <f t="shared" si="26"/>
        <v>250.3648</v>
      </c>
      <c r="Z182" s="9">
        <f>VLOOKUP(M182,'Discount Rate'!A:B,2,FALSE)</f>
        <v>0.08</v>
      </c>
      <c r="AA182" s="11">
        <f t="shared" si="27"/>
        <v>286.13119999999998</v>
      </c>
      <c r="AB182" s="15">
        <f t="shared" si="28"/>
        <v>3040.1439999999998</v>
      </c>
      <c r="AC182" s="15">
        <f t="shared" si="29"/>
        <v>1440.1439999999998</v>
      </c>
    </row>
    <row r="183" spans="1:29" x14ac:dyDescent="0.35">
      <c r="A183" t="s">
        <v>464</v>
      </c>
      <c r="B183" t="s">
        <v>465</v>
      </c>
      <c r="C183" t="s">
        <v>40</v>
      </c>
      <c r="D183" t="s">
        <v>41</v>
      </c>
      <c r="E183" s="1">
        <v>45456</v>
      </c>
      <c r="F183" s="24">
        <f t="shared" si="20"/>
        <v>2024</v>
      </c>
      <c r="G183" s="24" t="str">
        <f t="shared" si="21"/>
        <v>June</v>
      </c>
      <c r="H183" s="24" t="str">
        <f t="shared" si="22"/>
        <v>Thursday</v>
      </c>
      <c r="I183" s="22">
        <v>0.50097222222222226</v>
      </c>
      <c r="J183" s="24">
        <f t="shared" si="23"/>
        <v>12</v>
      </c>
      <c r="K183" s="24">
        <f t="shared" si="24"/>
        <v>1</v>
      </c>
      <c r="L183" s="24">
        <f t="shared" si="25"/>
        <v>24</v>
      </c>
      <c r="M183" t="s">
        <v>17</v>
      </c>
      <c r="N183" t="s">
        <v>18</v>
      </c>
      <c r="O183" s="24">
        <v>10</v>
      </c>
      <c r="P183" s="11">
        <v>907.16</v>
      </c>
      <c r="Q183" s="26">
        <f>VLOOKUP('Prepared Sales Dataset'!M183,'Product-cost'!A:B,2,FALSE)</f>
        <v>600</v>
      </c>
      <c r="R183" t="s">
        <v>35</v>
      </c>
      <c r="S183" t="s">
        <v>90</v>
      </c>
      <c r="T183" t="s">
        <v>231</v>
      </c>
      <c r="U183" t="s">
        <v>922</v>
      </c>
      <c r="V183" s="17">
        <f>P183*O183</f>
        <v>9071.6</v>
      </c>
      <c r="W183" s="19">
        <f>O183*Q183</f>
        <v>6000</v>
      </c>
      <c r="X183" s="13">
        <f>VLOOKUP(R183,Taxrate!A:B,2,FALSE)</f>
        <v>0.2</v>
      </c>
      <c r="Y183" s="15">
        <f t="shared" si="26"/>
        <v>1814.3200000000002</v>
      </c>
      <c r="Z183" s="9">
        <f>VLOOKUP(M183,'Discount Rate'!A:B,2,FALSE)</f>
        <v>0.05</v>
      </c>
      <c r="AA183" s="11">
        <f t="shared" si="27"/>
        <v>453.58000000000004</v>
      </c>
      <c r="AB183" s="15">
        <f t="shared" si="28"/>
        <v>6803.7000000000007</v>
      </c>
      <c r="AC183" s="15">
        <f t="shared" si="29"/>
        <v>803.70000000000073</v>
      </c>
    </row>
    <row r="184" spans="1:29" x14ac:dyDescent="0.35">
      <c r="A184" t="s">
        <v>466</v>
      </c>
      <c r="B184" t="s">
        <v>467</v>
      </c>
      <c r="C184" t="s">
        <v>407</v>
      </c>
      <c r="D184" t="s">
        <v>48</v>
      </c>
      <c r="E184" s="1">
        <v>45197</v>
      </c>
      <c r="F184" s="24">
        <f t="shared" si="20"/>
        <v>2023</v>
      </c>
      <c r="G184" s="24" t="str">
        <f t="shared" si="21"/>
        <v>September</v>
      </c>
      <c r="H184" s="24" t="str">
        <f t="shared" si="22"/>
        <v>Thursday</v>
      </c>
      <c r="I184" s="22">
        <v>0.74375000000000002</v>
      </c>
      <c r="J184" s="24">
        <f t="shared" si="23"/>
        <v>17</v>
      </c>
      <c r="K184" s="24">
        <f t="shared" si="24"/>
        <v>51</v>
      </c>
      <c r="L184" s="24">
        <f t="shared" si="25"/>
        <v>0</v>
      </c>
      <c r="M184" t="s">
        <v>26</v>
      </c>
      <c r="N184" t="s">
        <v>27</v>
      </c>
      <c r="O184" s="24">
        <v>13</v>
      </c>
      <c r="P184" s="11">
        <v>693.82</v>
      </c>
      <c r="Q184" s="26">
        <f>VLOOKUP('Prepared Sales Dataset'!M184,'Product-cost'!A:B,2,FALSE)</f>
        <v>300</v>
      </c>
      <c r="R184" t="s">
        <v>28</v>
      </c>
      <c r="S184" t="s">
        <v>51</v>
      </c>
      <c r="T184" t="s">
        <v>133</v>
      </c>
      <c r="U184" t="s">
        <v>921</v>
      </c>
      <c r="V184" s="17">
        <f>P184*O184</f>
        <v>9019.66</v>
      </c>
      <c r="W184" s="19">
        <f>O184*Q184</f>
        <v>3900</v>
      </c>
      <c r="X184" s="13">
        <f>VLOOKUP(R184,Taxrate!A:B,2,FALSE)</f>
        <v>0.1</v>
      </c>
      <c r="Y184" s="15">
        <f t="shared" si="26"/>
        <v>901.96600000000001</v>
      </c>
      <c r="Z184" s="9">
        <f>VLOOKUP(M184,'Discount Rate'!A:B,2,FALSE)</f>
        <v>0.1</v>
      </c>
      <c r="AA184" s="11">
        <f t="shared" si="27"/>
        <v>901.96600000000001</v>
      </c>
      <c r="AB184" s="15">
        <f t="shared" si="28"/>
        <v>7215.7280000000001</v>
      </c>
      <c r="AC184" s="15">
        <f t="shared" si="29"/>
        <v>3315.7280000000001</v>
      </c>
    </row>
    <row r="185" spans="1:29" x14ac:dyDescent="0.35">
      <c r="A185" t="s">
        <v>468</v>
      </c>
      <c r="B185" t="s">
        <v>469</v>
      </c>
      <c r="C185" t="s">
        <v>169</v>
      </c>
      <c r="D185" t="s">
        <v>170</v>
      </c>
      <c r="E185" s="1">
        <v>44942</v>
      </c>
      <c r="F185" s="24">
        <f t="shared" si="20"/>
        <v>2023</v>
      </c>
      <c r="G185" s="24" t="str">
        <f t="shared" si="21"/>
        <v>January</v>
      </c>
      <c r="H185" s="24" t="str">
        <f t="shared" si="22"/>
        <v>Monday</v>
      </c>
      <c r="I185" s="22">
        <v>0.69557870370370367</v>
      </c>
      <c r="J185" s="24">
        <f t="shared" si="23"/>
        <v>16</v>
      </c>
      <c r="K185" s="24">
        <f t="shared" si="24"/>
        <v>41</v>
      </c>
      <c r="L185" s="24">
        <f t="shared" si="25"/>
        <v>38</v>
      </c>
      <c r="M185" t="s">
        <v>49</v>
      </c>
      <c r="N185" t="s">
        <v>50</v>
      </c>
      <c r="O185" s="24">
        <v>11</v>
      </c>
      <c r="P185" s="11">
        <v>506</v>
      </c>
      <c r="Q185" s="26">
        <f>VLOOKUP('Prepared Sales Dataset'!M185,'Product-cost'!A:B,2,FALSE)</f>
        <v>150</v>
      </c>
      <c r="R185" t="s">
        <v>55</v>
      </c>
      <c r="S185" t="s">
        <v>272</v>
      </c>
      <c r="U185" t="s">
        <v>923</v>
      </c>
      <c r="V185" s="17">
        <f>P185*O185</f>
        <v>5566</v>
      </c>
      <c r="W185" s="19">
        <f>O185*Q185</f>
        <v>1650</v>
      </c>
      <c r="X185" s="13">
        <f>VLOOKUP(R185,Taxrate!A:B,2,FALSE)</f>
        <v>7.0000000000000007E-2</v>
      </c>
      <c r="Y185" s="15">
        <f t="shared" si="26"/>
        <v>389.62000000000006</v>
      </c>
      <c r="Z185" s="9">
        <f>VLOOKUP(M185,'Discount Rate'!A:B,2,FALSE)</f>
        <v>7.0000000000000007E-2</v>
      </c>
      <c r="AA185" s="11">
        <f t="shared" si="27"/>
        <v>389.62000000000006</v>
      </c>
      <c r="AB185" s="15">
        <f t="shared" si="28"/>
        <v>4786.76</v>
      </c>
      <c r="AC185" s="15">
        <f t="shared" si="29"/>
        <v>3136.76</v>
      </c>
    </row>
    <row r="186" spans="1:29" x14ac:dyDescent="0.35">
      <c r="A186" t="s">
        <v>470</v>
      </c>
      <c r="B186" t="s">
        <v>471</v>
      </c>
      <c r="C186" t="s">
        <v>195</v>
      </c>
      <c r="D186" t="s">
        <v>63</v>
      </c>
      <c r="E186" s="1">
        <v>45986</v>
      </c>
      <c r="F186" s="24">
        <f t="shared" si="20"/>
        <v>2025</v>
      </c>
      <c r="G186" s="24" t="str">
        <f t="shared" si="21"/>
        <v>November</v>
      </c>
      <c r="H186" s="24" t="str">
        <f t="shared" si="22"/>
        <v>Tuesday</v>
      </c>
      <c r="I186" s="22">
        <v>0.36937500000000001</v>
      </c>
      <c r="J186" s="24">
        <f t="shared" si="23"/>
        <v>8</v>
      </c>
      <c r="K186" s="24">
        <f t="shared" si="24"/>
        <v>51</v>
      </c>
      <c r="L186" s="24">
        <f t="shared" si="25"/>
        <v>54</v>
      </c>
      <c r="M186" t="s">
        <v>49</v>
      </c>
      <c r="N186" t="s">
        <v>50</v>
      </c>
      <c r="O186" s="24">
        <v>6</v>
      </c>
      <c r="P186" s="11">
        <v>255.34</v>
      </c>
      <c r="Q186" s="26">
        <f>VLOOKUP('Prepared Sales Dataset'!M186,'Product-cost'!A:B,2,FALSE)</f>
        <v>150</v>
      </c>
      <c r="R186" t="s">
        <v>42</v>
      </c>
      <c r="S186" t="s">
        <v>64</v>
      </c>
      <c r="T186" t="s">
        <v>142</v>
      </c>
      <c r="U186" t="s">
        <v>921</v>
      </c>
      <c r="V186" s="17">
        <f>P186*O186</f>
        <v>1532.04</v>
      </c>
      <c r="W186" s="19">
        <f>O186*Q186</f>
        <v>900</v>
      </c>
      <c r="X186" s="13">
        <f>VLOOKUP(R186,Taxrate!A:B,2,FALSE)</f>
        <v>0.15</v>
      </c>
      <c r="Y186" s="15">
        <f t="shared" si="26"/>
        <v>229.80599999999998</v>
      </c>
      <c r="Z186" s="9">
        <f>VLOOKUP(M186,'Discount Rate'!A:B,2,FALSE)</f>
        <v>7.0000000000000007E-2</v>
      </c>
      <c r="AA186" s="11">
        <f t="shared" si="27"/>
        <v>107.2428</v>
      </c>
      <c r="AB186" s="15">
        <f t="shared" si="28"/>
        <v>1194.9911999999999</v>
      </c>
      <c r="AC186" s="15">
        <f t="shared" si="29"/>
        <v>294.99119999999994</v>
      </c>
    </row>
    <row r="187" spans="1:29" x14ac:dyDescent="0.35">
      <c r="A187" t="s">
        <v>472</v>
      </c>
      <c r="B187" t="s">
        <v>473</v>
      </c>
      <c r="C187" t="s">
        <v>195</v>
      </c>
      <c r="D187" t="s">
        <v>63</v>
      </c>
      <c r="E187" s="1">
        <v>46387</v>
      </c>
      <c r="F187" s="24">
        <f t="shared" si="20"/>
        <v>2026</v>
      </c>
      <c r="G187" s="24" t="str">
        <f t="shared" si="21"/>
        <v>December</v>
      </c>
      <c r="H187" s="24" t="str">
        <f t="shared" si="22"/>
        <v>Thursday</v>
      </c>
      <c r="I187" s="22">
        <v>0.77407407407407403</v>
      </c>
      <c r="J187" s="24">
        <f t="shared" si="23"/>
        <v>18</v>
      </c>
      <c r="K187" s="24">
        <f t="shared" si="24"/>
        <v>34</v>
      </c>
      <c r="L187" s="24">
        <f t="shared" si="25"/>
        <v>40</v>
      </c>
      <c r="M187" t="s">
        <v>78</v>
      </c>
      <c r="N187" t="s">
        <v>79</v>
      </c>
      <c r="O187" s="24">
        <v>11</v>
      </c>
      <c r="P187" s="11">
        <v>142.51</v>
      </c>
      <c r="Q187" s="26">
        <f>VLOOKUP('Prepared Sales Dataset'!M187,'Product-cost'!A:B,2,FALSE)</f>
        <v>50</v>
      </c>
      <c r="R187" t="s">
        <v>35</v>
      </c>
      <c r="S187" t="s">
        <v>241</v>
      </c>
      <c r="T187" t="s">
        <v>37</v>
      </c>
      <c r="U187" t="s">
        <v>921</v>
      </c>
      <c r="V187" s="17">
        <f>P187*O187</f>
        <v>1567.61</v>
      </c>
      <c r="W187" s="19">
        <f>O187*Q187</f>
        <v>550</v>
      </c>
      <c r="X187" s="13">
        <f>VLOOKUP(R187,Taxrate!A:B,2,FALSE)</f>
        <v>0.2</v>
      </c>
      <c r="Y187" s="15">
        <f t="shared" si="26"/>
        <v>313.52199999999999</v>
      </c>
      <c r="Z187" s="9">
        <f>VLOOKUP(M187,'Discount Rate'!A:B,2,FALSE)</f>
        <v>0.03</v>
      </c>
      <c r="AA187" s="11">
        <f t="shared" si="27"/>
        <v>47.028299999999994</v>
      </c>
      <c r="AB187" s="15">
        <f t="shared" si="28"/>
        <v>1207.0596999999998</v>
      </c>
      <c r="AC187" s="15">
        <f t="shared" si="29"/>
        <v>657.05969999999979</v>
      </c>
    </row>
    <row r="188" spans="1:29" x14ac:dyDescent="0.35">
      <c r="A188" t="s">
        <v>474</v>
      </c>
      <c r="B188" t="s">
        <v>243</v>
      </c>
      <c r="C188" t="s">
        <v>62</v>
      </c>
      <c r="D188" t="s">
        <v>63</v>
      </c>
      <c r="E188" s="1">
        <v>45614</v>
      </c>
      <c r="F188" s="24">
        <f t="shared" si="20"/>
        <v>2024</v>
      </c>
      <c r="G188" s="24" t="str">
        <f t="shared" si="21"/>
        <v>November</v>
      </c>
      <c r="H188" s="24" t="str">
        <f t="shared" si="22"/>
        <v>Monday</v>
      </c>
      <c r="I188" s="22">
        <v>0.47377314814814814</v>
      </c>
      <c r="J188" s="24">
        <f t="shared" si="23"/>
        <v>11</v>
      </c>
      <c r="K188" s="24">
        <f t="shared" si="24"/>
        <v>22</v>
      </c>
      <c r="L188" s="24">
        <f t="shared" si="25"/>
        <v>14</v>
      </c>
      <c r="M188" t="s">
        <v>33</v>
      </c>
      <c r="N188" t="s">
        <v>34</v>
      </c>
      <c r="O188" s="24">
        <v>15</v>
      </c>
      <c r="P188" s="11">
        <v>372.11</v>
      </c>
      <c r="Q188" s="26">
        <f>VLOOKUP('Prepared Sales Dataset'!M188,'Product-cost'!A:B,2,FALSE)</f>
        <v>200</v>
      </c>
      <c r="R188" t="s">
        <v>28</v>
      </c>
      <c r="S188" t="s">
        <v>64</v>
      </c>
      <c r="T188" t="s">
        <v>249</v>
      </c>
      <c r="U188" t="s">
        <v>921</v>
      </c>
      <c r="V188" s="17">
        <f>P188*O188</f>
        <v>5581.6500000000005</v>
      </c>
      <c r="W188" s="19">
        <f>O188*Q188</f>
        <v>3000</v>
      </c>
      <c r="X188" s="13">
        <f>VLOOKUP(R188,Taxrate!A:B,2,FALSE)</f>
        <v>0.1</v>
      </c>
      <c r="Y188" s="15">
        <f t="shared" si="26"/>
        <v>558.16500000000008</v>
      </c>
      <c r="Z188" s="9">
        <f>VLOOKUP(M188,'Discount Rate'!A:B,2,FALSE)</f>
        <v>0.08</v>
      </c>
      <c r="AA188" s="11">
        <f t="shared" si="27"/>
        <v>446.53200000000004</v>
      </c>
      <c r="AB188" s="15">
        <f t="shared" si="28"/>
        <v>4576.9530000000004</v>
      </c>
      <c r="AC188" s="15">
        <f t="shared" si="29"/>
        <v>1576.9530000000004</v>
      </c>
    </row>
    <row r="189" spans="1:29" x14ac:dyDescent="0.35">
      <c r="A189" t="s">
        <v>475</v>
      </c>
      <c r="B189" t="s">
        <v>476</v>
      </c>
      <c r="C189" t="s">
        <v>169</v>
      </c>
      <c r="D189" t="s">
        <v>170</v>
      </c>
      <c r="E189" s="1">
        <v>45773</v>
      </c>
      <c r="F189" s="24">
        <f t="shared" si="20"/>
        <v>2025</v>
      </c>
      <c r="G189" s="24" t="str">
        <f t="shared" si="21"/>
        <v>April</v>
      </c>
      <c r="H189" s="24" t="str">
        <f t="shared" si="22"/>
        <v>Saturday</v>
      </c>
      <c r="I189" s="22">
        <v>0.91260416666666666</v>
      </c>
      <c r="J189" s="24">
        <f t="shared" si="23"/>
        <v>21</v>
      </c>
      <c r="K189" s="24">
        <f t="shared" si="24"/>
        <v>54</v>
      </c>
      <c r="L189" s="24">
        <f t="shared" si="25"/>
        <v>9</v>
      </c>
      <c r="M189" t="s">
        <v>26</v>
      </c>
      <c r="N189" t="s">
        <v>27</v>
      </c>
      <c r="O189" s="24">
        <v>6</v>
      </c>
      <c r="P189" s="11">
        <v>650.82000000000005</v>
      </c>
      <c r="Q189" s="26">
        <f>VLOOKUP('Prepared Sales Dataset'!M189,'Product-cost'!A:B,2,FALSE)</f>
        <v>300</v>
      </c>
      <c r="R189" t="s">
        <v>42</v>
      </c>
      <c r="S189" t="s">
        <v>171</v>
      </c>
      <c r="T189" t="s">
        <v>249</v>
      </c>
      <c r="U189" t="s">
        <v>921</v>
      </c>
      <c r="V189" s="17">
        <f>P189*O189</f>
        <v>3904.92</v>
      </c>
      <c r="W189" s="19">
        <f>O189*Q189</f>
        <v>1800</v>
      </c>
      <c r="X189" s="13">
        <f>VLOOKUP(R189,Taxrate!A:B,2,FALSE)</f>
        <v>0.15</v>
      </c>
      <c r="Y189" s="15">
        <f t="shared" si="26"/>
        <v>585.73799999999994</v>
      </c>
      <c r="Z189" s="9">
        <f>VLOOKUP(M189,'Discount Rate'!A:B,2,FALSE)</f>
        <v>0.1</v>
      </c>
      <c r="AA189" s="11">
        <f t="shared" si="27"/>
        <v>390.49200000000002</v>
      </c>
      <c r="AB189" s="15">
        <f t="shared" si="28"/>
        <v>2928.69</v>
      </c>
      <c r="AC189" s="15">
        <f t="shared" si="29"/>
        <v>1128.69</v>
      </c>
    </row>
    <row r="190" spans="1:29" x14ac:dyDescent="0.35">
      <c r="A190" t="s">
        <v>477</v>
      </c>
      <c r="B190" t="s">
        <v>105</v>
      </c>
      <c r="C190" t="s">
        <v>47</v>
      </c>
      <c r="D190" t="s">
        <v>48</v>
      </c>
      <c r="E190" s="1">
        <v>45852</v>
      </c>
      <c r="F190" s="24">
        <f t="shared" si="20"/>
        <v>2025</v>
      </c>
      <c r="G190" s="24" t="str">
        <f t="shared" si="21"/>
        <v>July</v>
      </c>
      <c r="H190" s="24" t="str">
        <f t="shared" si="22"/>
        <v>Monday</v>
      </c>
      <c r="I190" s="22">
        <v>0.49223379629629632</v>
      </c>
      <c r="J190" s="24">
        <f t="shared" si="23"/>
        <v>11</v>
      </c>
      <c r="K190" s="24">
        <f t="shared" si="24"/>
        <v>48</v>
      </c>
      <c r="L190" s="24">
        <f t="shared" si="25"/>
        <v>49</v>
      </c>
      <c r="M190" t="s">
        <v>26</v>
      </c>
      <c r="N190" t="s">
        <v>27</v>
      </c>
      <c r="O190" s="24">
        <v>3</v>
      </c>
      <c r="P190" s="11">
        <v>709.07</v>
      </c>
      <c r="Q190" s="26">
        <f>VLOOKUP('Prepared Sales Dataset'!M190,'Product-cost'!A:B,2,FALSE)</f>
        <v>300</v>
      </c>
      <c r="R190" t="s">
        <v>55</v>
      </c>
      <c r="S190" t="s">
        <v>85</v>
      </c>
      <c r="T190" t="s">
        <v>231</v>
      </c>
      <c r="U190" t="s">
        <v>922</v>
      </c>
      <c r="V190" s="17">
        <f>P190*O190</f>
        <v>2127.21</v>
      </c>
      <c r="W190" s="19">
        <f>O190*Q190</f>
        <v>900</v>
      </c>
      <c r="X190" s="13">
        <f>VLOOKUP(R190,Taxrate!A:B,2,FALSE)</f>
        <v>7.0000000000000007E-2</v>
      </c>
      <c r="Y190" s="15">
        <f t="shared" si="26"/>
        <v>148.90470000000002</v>
      </c>
      <c r="Z190" s="9">
        <f>VLOOKUP(M190,'Discount Rate'!A:B,2,FALSE)</f>
        <v>0.1</v>
      </c>
      <c r="AA190" s="11">
        <f t="shared" si="27"/>
        <v>212.721</v>
      </c>
      <c r="AB190" s="15">
        <f t="shared" si="28"/>
        <v>1765.5843</v>
      </c>
      <c r="AC190" s="15">
        <f t="shared" si="29"/>
        <v>865.58429999999998</v>
      </c>
    </row>
    <row r="191" spans="1:29" x14ac:dyDescent="0.35">
      <c r="A191" t="s">
        <v>478</v>
      </c>
      <c r="B191" t="s">
        <v>479</v>
      </c>
      <c r="C191" t="s">
        <v>40</v>
      </c>
      <c r="D191" t="s">
        <v>41</v>
      </c>
      <c r="E191" s="1">
        <v>45586</v>
      </c>
      <c r="F191" s="24">
        <f t="shared" si="20"/>
        <v>2024</v>
      </c>
      <c r="G191" s="24" t="str">
        <f t="shared" si="21"/>
        <v>October</v>
      </c>
      <c r="H191" s="24" t="str">
        <f t="shared" si="22"/>
        <v>Monday</v>
      </c>
      <c r="I191" s="22">
        <v>0.36319444444444443</v>
      </c>
      <c r="J191" s="24">
        <f t="shared" si="23"/>
        <v>8</v>
      </c>
      <c r="K191" s="24">
        <f t="shared" si="24"/>
        <v>43</v>
      </c>
      <c r="L191" s="24">
        <f t="shared" si="25"/>
        <v>0</v>
      </c>
      <c r="M191" t="s">
        <v>26</v>
      </c>
      <c r="N191" t="s">
        <v>27</v>
      </c>
      <c r="O191" s="24">
        <v>15</v>
      </c>
      <c r="P191" s="11">
        <v>518.67999999999995</v>
      </c>
      <c r="Q191" s="26">
        <f>VLOOKUP('Prepared Sales Dataset'!M191,'Product-cost'!A:B,2,FALSE)</f>
        <v>300</v>
      </c>
      <c r="R191" t="s">
        <v>42</v>
      </c>
      <c r="S191" t="s">
        <v>90</v>
      </c>
      <c r="T191" t="s">
        <v>166</v>
      </c>
      <c r="U191" t="s">
        <v>921</v>
      </c>
      <c r="V191" s="17">
        <f>P191*O191</f>
        <v>7780.1999999999989</v>
      </c>
      <c r="W191" s="19">
        <f>O191*Q191</f>
        <v>4500</v>
      </c>
      <c r="X191" s="13">
        <f>VLOOKUP(R191,Taxrate!A:B,2,FALSE)</f>
        <v>0.15</v>
      </c>
      <c r="Y191" s="15">
        <f t="shared" si="26"/>
        <v>1167.0299999999997</v>
      </c>
      <c r="Z191" s="9">
        <f>VLOOKUP(M191,'Discount Rate'!A:B,2,FALSE)</f>
        <v>0.1</v>
      </c>
      <c r="AA191" s="11">
        <f t="shared" si="27"/>
        <v>778.02</v>
      </c>
      <c r="AB191" s="15">
        <f t="shared" si="28"/>
        <v>5835.15</v>
      </c>
      <c r="AC191" s="15">
        <f t="shared" si="29"/>
        <v>1335.1499999999996</v>
      </c>
    </row>
    <row r="192" spans="1:29" x14ac:dyDescent="0.35">
      <c r="A192" t="s">
        <v>480</v>
      </c>
      <c r="B192" t="s">
        <v>481</v>
      </c>
      <c r="C192" t="s">
        <v>136</v>
      </c>
      <c r="D192" t="s">
        <v>25</v>
      </c>
      <c r="E192" s="1">
        <v>45815</v>
      </c>
      <c r="F192" s="24">
        <f t="shared" si="20"/>
        <v>2025</v>
      </c>
      <c r="G192" s="24" t="str">
        <f t="shared" si="21"/>
        <v>June</v>
      </c>
      <c r="H192" s="24" t="str">
        <f t="shared" si="22"/>
        <v>Saturday</v>
      </c>
      <c r="I192" s="22">
        <v>0.58160879629629625</v>
      </c>
      <c r="J192" s="24">
        <f t="shared" si="23"/>
        <v>13</v>
      </c>
      <c r="K192" s="24">
        <f t="shared" si="24"/>
        <v>57</v>
      </c>
      <c r="L192" s="24">
        <f t="shared" si="25"/>
        <v>31</v>
      </c>
      <c r="M192" t="s">
        <v>33</v>
      </c>
      <c r="N192" t="s">
        <v>34</v>
      </c>
      <c r="O192" s="24">
        <v>3</v>
      </c>
      <c r="P192" s="11">
        <v>503.64</v>
      </c>
      <c r="Q192" s="26">
        <f>VLOOKUP('Prepared Sales Dataset'!M192,'Product-cost'!A:B,2,FALSE)</f>
        <v>200</v>
      </c>
      <c r="R192" t="s">
        <v>42</v>
      </c>
      <c r="S192" t="s">
        <v>56</v>
      </c>
      <c r="T192" t="s">
        <v>74</v>
      </c>
      <c r="U192" t="s">
        <v>922</v>
      </c>
      <c r="V192" s="17">
        <f>P192*O192</f>
        <v>1510.92</v>
      </c>
      <c r="W192" s="19">
        <f>O192*Q192</f>
        <v>600</v>
      </c>
      <c r="X192" s="13">
        <f>VLOOKUP(R192,Taxrate!A:B,2,FALSE)</f>
        <v>0.15</v>
      </c>
      <c r="Y192" s="15">
        <f t="shared" si="26"/>
        <v>226.63800000000001</v>
      </c>
      <c r="Z192" s="9">
        <f>VLOOKUP(M192,'Discount Rate'!A:B,2,FALSE)</f>
        <v>0.08</v>
      </c>
      <c r="AA192" s="11">
        <f t="shared" si="27"/>
        <v>120.87360000000001</v>
      </c>
      <c r="AB192" s="15">
        <f t="shared" si="28"/>
        <v>1163.4084</v>
      </c>
      <c r="AC192" s="15">
        <f t="shared" si="29"/>
        <v>563.40840000000003</v>
      </c>
    </row>
    <row r="193" spans="1:29" x14ac:dyDescent="0.35">
      <c r="A193" t="s">
        <v>482</v>
      </c>
      <c r="B193" t="s">
        <v>283</v>
      </c>
      <c r="C193" t="s">
        <v>47</v>
      </c>
      <c r="D193" t="s">
        <v>48</v>
      </c>
      <c r="E193" s="1">
        <v>46238</v>
      </c>
      <c r="F193" s="24">
        <f t="shared" si="20"/>
        <v>2026</v>
      </c>
      <c r="G193" s="24" t="str">
        <f t="shared" si="21"/>
        <v>August</v>
      </c>
      <c r="H193" s="24" t="str">
        <f t="shared" si="22"/>
        <v>Tuesday</v>
      </c>
      <c r="I193" s="22">
        <v>0.85739583333333336</v>
      </c>
      <c r="J193" s="24">
        <f t="shared" si="23"/>
        <v>20</v>
      </c>
      <c r="K193" s="24">
        <f t="shared" si="24"/>
        <v>34</v>
      </c>
      <c r="L193" s="24">
        <f t="shared" si="25"/>
        <v>39</v>
      </c>
      <c r="M193" t="s">
        <v>17</v>
      </c>
      <c r="N193" t="s">
        <v>18</v>
      </c>
      <c r="O193" s="24">
        <v>1</v>
      </c>
      <c r="P193" s="11">
        <v>1126.78</v>
      </c>
      <c r="Q193" s="26">
        <f>VLOOKUP('Prepared Sales Dataset'!M193,'Product-cost'!A:B,2,FALSE)</f>
        <v>600</v>
      </c>
      <c r="R193" t="s">
        <v>55</v>
      </c>
      <c r="S193" t="s">
        <v>51</v>
      </c>
      <c r="T193" t="s">
        <v>37</v>
      </c>
      <c r="U193" t="s">
        <v>921</v>
      </c>
      <c r="V193" s="17">
        <f>P193*O193</f>
        <v>1126.78</v>
      </c>
      <c r="W193" s="19">
        <f>O193*Q193</f>
        <v>600</v>
      </c>
      <c r="X193" s="13">
        <f>VLOOKUP(R193,Taxrate!A:B,2,FALSE)</f>
        <v>7.0000000000000007E-2</v>
      </c>
      <c r="Y193" s="15">
        <f t="shared" si="26"/>
        <v>78.874600000000001</v>
      </c>
      <c r="Z193" s="9">
        <f>VLOOKUP(M193,'Discount Rate'!A:B,2,FALSE)</f>
        <v>0.05</v>
      </c>
      <c r="AA193" s="11">
        <f t="shared" si="27"/>
        <v>56.338999999999999</v>
      </c>
      <c r="AB193" s="15">
        <f t="shared" si="28"/>
        <v>991.56639999999993</v>
      </c>
      <c r="AC193" s="15">
        <f t="shared" si="29"/>
        <v>391.56639999999993</v>
      </c>
    </row>
    <row r="194" spans="1:29" x14ac:dyDescent="0.35">
      <c r="A194" t="s">
        <v>483</v>
      </c>
      <c r="B194" t="s">
        <v>484</v>
      </c>
      <c r="C194" t="s">
        <v>407</v>
      </c>
      <c r="D194" t="s">
        <v>48</v>
      </c>
      <c r="E194" s="1">
        <v>45788</v>
      </c>
      <c r="F194" s="24">
        <f t="shared" ref="F194:F257" si="30">YEAR(E194)</f>
        <v>2025</v>
      </c>
      <c r="G194" s="24" t="str">
        <f t="shared" si="21"/>
        <v>May</v>
      </c>
      <c r="H194" s="24" t="str">
        <f t="shared" si="22"/>
        <v>Sunday</v>
      </c>
      <c r="I194" s="22">
        <v>0.77311342592592591</v>
      </c>
      <c r="J194" s="24">
        <f t="shared" si="23"/>
        <v>18</v>
      </c>
      <c r="K194" s="24">
        <f t="shared" si="24"/>
        <v>33</v>
      </c>
      <c r="L194" s="24">
        <f t="shared" si="25"/>
        <v>17</v>
      </c>
      <c r="M194" t="s">
        <v>49</v>
      </c>
      <c r="N194" t="s">
        <v>50</v>
      </c>
      <c r="O194" s="24">
        <v>3</v>
      </c>
      <c r="P194" s="11">
        <v>274.85000000000002</v>
      </c>
      <c r="Q194" s="26">
        <f>VLOOKUP('Prepared Sales Dataset'!M194,'Product-cost'!A:B,2,FALSE)</f>
        <v>150</v>
      </c>
      <c r="R194" t="s">
        <v>59</v>
      </c>
      <c r="S194" t="s">
        <v>51</v>
      </c>
      <c r="T194" t="s">
        <v>37</v>
      </c>
      <c r="U194" t="s">
        <v>921</v>
      </c>
      <c r="V194" s="17">
        <f>P194*O194</f>
        <v>824.55000000000007</v>
      </c>
      <c r="W194" s="19">
        <f>O194*Q194</f>
        <v>450</v>
      </c>
      <c r="X194" s="13">
        <f>VLOOKUP(R194,Taxrate!A:B,2,FALSE)</f>
        <v>0.12</v>
      </c>
      <c r="Y194" s="15">
        <f t="shared" si="26"/>
        <v>98.945999999999998</v>
      </c>
      <c r="Z194" s="9">
        <f>VLOOKUP(M194,'Discount Rate'!A:B,2,FALSE)</f>
        <v>7.0000000000000007E-2</v>
      </c>
      <c r="AA194" s="11">
        <f t="shared" si="27"/>
        <v>57.718500000000013</v>
      </c>
      <c r="AB194" s="15">
        <f t="shared" si="28"/>
        <v>667.88550000000009</v>
      </c>
      <c r="AC194" s="15">
        <f t="shared" si="29"/>
        <v>217.88550000000009</v>
      </c>
    </row>
    <row r="195" spans="1:29" x14ac:dyDescent="0.35">
      <c r="A195" t="s">
        <v>485</v>
      </c>
      <c r="B195" t="s">
        <v>366</v>
      </c>
      <c r="C195" t="s">
        <v>136</v>
      </c>
      <c r="D195" t="s">
        <v>25</v>
      </c>
      <c r="E195" s="1">
        <v>45660</v>
      </c>
      <c r="F195" s="24">
        <f t="shared" si="30"/>
        <v>2025</v>
      </c>
      <c r="G195" s="24" t="str">
        <f t="shared" ref="G195:G258" si="31">TEXT(E195,"mmmm")</f>
        <v>January</v>
      </c>
      <c r="H195" s="24" t="str">
        <f t="shared" ref="H195:H258" si="32">TEXT(E195,"dddd")</f>
        <v>Friday</v>
      </c>
      <c r="I195" s="22">
        <v>0.50696759259259261</v>
      </c>
      <c r="J195" s="24">
        <f t="shared" ref="J195:J258" si="33">HOUR(I195)</f>
        <v>12</v>
      </c>
      <c r="K195" s="24">
        <f t="shared" ref="K195:K258" si="34">MINUTE(I195)</f>
        <v>10</v>
      </c>
      <c r="L195" s="24">
        <f t="shared" ref="L195:L258" si="35">SECOND(I195)</f>
        <v>2</v>
      </c>
      <c r="M195" t="s">
        <v>49</v>
      </c>
      <c r="N195" t="s">
        <v>50</v>
      </c>
      <c r="O195" s="24">
        <v>4</v>
      </c>
      <c r="P195" s="11">
        <v>228.87</v>
      </c>
      <c r="Q195" s="26">
        <f>VLOOKUP('Prepared Sales Dataset'!M195,'Product-cost'!A:B,2,FALSE)</f>
        <v>150</v>
      </c>
      <c r="R195" t="s">
        <v>35</v>
      </c>
      <c r="S195" t="s">
        <v>29</v>
      </c>
      <c r="U195" t="s">
        <v>923</v>
      </c>
      <c r="V195" s="17">
        <f>P195*O195</f>
        <v>915.48</v>
      </c>
      <c r="W195" s="19">
        <f>O195*Q195</f>
        <v>600</v>
      </c>
      <c r="X195" s="13">
        <f>VLOOKUP(R195,Taxrate!A:B,2,FALSE)</f>
        <v>0.2</v>
      </c>
      <c r="Y195" s="15">
        <f t="shared" ref="Y195:Y258" si="36">V195*X195</f>
        <v>183.096</v>
      </c>
      <c r="Z195" s="9">
        <f>VLOOKUP(M195,'Discount Rate'!A:B,2,FALSE)</f>
        <v>7.0000000000000007E-2</v>
      </c>
      <c r="AA195" s="11">
        <f t="shared" ref="AA195:AA258" si="37">V195*Z195</f>
        <v>64.083600000000004</v>
      </c>
      <c r="AB195" s="15">
        <f t="shared" ref="AB195:AB258" si="38">V195-(Y195+AA195)</f>
        <v>668.30040000000008</v>
      </c>
      <c r="AC195" s="15">
        <f t="shared" ref="AC195:AC258" si="39">AB195-W195</f>
        <v>68.300400000000081</v>
      </c>
    </row>
    <row r="196" spans="1:29" x14ac:dyDescent="0.35">
      <c r="A196" t="s">
        <v>486</v>
      </c>
      <c r="B196" t="s">
        <v>487</v>
      </c>
      <c r="C196" t="s">
        <v>15</v>
      </c>
      <c r="D196" t="s">
        <v>16</v>
      </c>
      <c r="E196" s="1">
        <v>46246</v>
      </c>
      <c r="F196" s="24">
        <f t="shared" si="30"/>
        <v>2026</v>
      </c>
      <c r="G196" s="24" t="str">
        <f t="shared" si="31"/>
        <v>August</v>
      </c>
      <c r="H196" s="24" t="str">
        <f t="shared" si="32"/>
        <v>Wednesday</v>
      </c>
      <c r="I196" s="22">
        <v>0.63768518518518513</v>
      </c>
      <c r="J196" s="24">
        <f t="shared" si="33"/>
        <v>15</v>
      </c>
      <c r="K196" s="24">
        <f t="shared" si="34"/>
        <v>18</v>
      </c>
      <c r="L196" s="24">
        <f t="shared" si="35"/>
        <v>16</v>
      </c>
      <c r="M196" t="s">
        <v>78</v>
      </c>
      <c r="N196" t="s">
        <v>79</v>
      </c>
      <c r="O196" s="24">
        <v>8</v>
      </c>
      <c r="P196" s="11">
        <v>185.56</v>
      </c>
      <c r="Q196" s="26">
        <f>VLOOKUP('Prepared Sales Dataset'!M196,'Product-cost'!A:B,2,FALSE)</f>
        <v>50</v>
      </c>
      <c r="R196" t="s">
        <v>28</v>
      </c>
      <c r="S196" t="s">
        <v>36</v>
      </c>
      <c r="U196" t="s">
        <v>923</v>
      </c>
      <c r="V196" s="17">
        <f>P196*O196</f>
        <v>1484.48</v>
      </c>
      <c r="W196" s="19">
        <f>O196*Q196</f>
        <v>400</v>
      </c>
      <c r="X196" s="13">
        <f>VLOOKUP(R196,Taxrate!A:B,2,FALSE)</f>
        <v>0.1</v>
      </c>
      <c r="Y196" s="15">
        <f t="shared" si="36"/>
        <v>148.44800000000001</v>
      </c>
      <c r="Z196" s="9">
        <f>VLOOKUP(M196,'Discount Rate'!A:B,2,FALSE)</f>
        <v>0.03</v>
      </c>
      <c r="AA196" s="11">
        <f t="shared" si="37"/>
        <v>44.534399999999998</v>
      </c>
      <c r="AB196" s="15">
        <f t="shared" si="38"/>
        <v>1291.4975999999999</v>
      </c>
      <c r="AC196" s="15">
        <f t="shared" si="39"/>
        <v>891.49759999999992</v>
      </c>
    </row>
    <row r="197" spans="1:29" x14ac:dyDescent="0.35">
      <c r="A197" t="s">
        <v>488</v>
      </c>
      <c r="B197" t="s">
        <v>489</v>
      </c>
      <c r="C197" t="s">
        <v>139</v>
      </c>
      <c r="D197" t="s">
        <v>25</v>
      </c>
      <c r="E197" s="1">
        <v>46252</v>
      </c>
      <c r="F197" s="24">
        <f t="shared" si="30"/>
        <v>2026</v>
      </c>
      <c r="G197" s="24" t="str">
        <f t="shared" si="31"/>
        <v>August</v>
      </c>
      <c r="H197" s="24" t="str">
        <f t="shared" si="32"/>
        <v>Tuesday</v>
      </c>
      <c r="I197" s="22">
        <v>0.55760416666666668</v>
      </c>
      <c r="J197" s="24">
        <f t="shared" si="33"/>
        <v>13</v>
      </c>
      <c r="K197" s="24">
        <f t="shared" si="34"/>
        <v>22</v>
      </c>
      <c r="L197" s="24">
        <f t="shared" si="35"/>
        <v>57</v>
      </c>
      <c r="M197" t="s">
        <v>78</v>
      </c>
      <c r="N197" t="s">
        <v>79</v>
      </c>
      <c r="O197" s="24">
        <v>5</v>
      </c>
      <c r="P197" s="11">
        <v>126.97</v>
      </c>
      <c r="Q197" s="26">
        <f>VLOOKUP('Prepared Sales Dataset'!M197,'Product-cost'!A:B,2,FALSE)</f>
        <v>50</v>
      </c>
      <c r="R197" t="s">
        <v>28</v>
      </c>
      <c r="S197" t="s">
        <v>29</v>
      </c>
      <c r="U197" t="s">
        <v>923</v>
      </c>
      <c r="V197" s="17">
        <f>P197*O197</f>
        <v>634.85</v>
      </c>
      <c r="W197" s="19">
        <f>O197*Q197</f>
        <v>250</v>
      </c>
      <c r="X197" s="13">
        <f>VLOOKUP(R197,Taxrate!A:B,2,FALSE)</f>
        <v>0.1</v>
      </c>
      <c r="Y197" s="15">
        <f t="shared" si="36"/>
        <v>63.485000000000007</v>
      </c>
      <c r="Z197" s="9">
        <f>VLOOKUP(M197,'Discount Rate'!A:B,2,FALSE)</f>
        <v>0.03</v>
      </c>
      <c r="AA197" s="11">
        <f t="shared" si="37"/>
        <v>19.045500000000001</v>
      </c>
      <c r="AB197" s="15">
        <f t="shared" si="38"/>
        <v>552.31950000000006</v>
      </c>
      <c r="AC197" s="15">
        <f t="shared" si="39"/>
        <v>302.31950000000006</v>
      </c>
    </row>
    <row r="198" spans="1:29" x14ac:dyDescent="0.35">
      <c r="A198" t="s">
        <v>490</v>
      </c>
      <c r="B198" t="s">
        <v>224</v>
      </c>
      <c r="C198" t="s">
        <v>62</v>
      </c>
      <c r="D198" t="s">
        <v>63</v>
      </c>
      <c r="E198" s="1">
        <v>45198</v>
      </c>
      <c r="F198" s="24">
        <f t="shared" si="30"/>
        <v>2023</v>
      </c>
      <c r="G198" s="24" t="str">
        <f t="shared" si="31"/>
        <v>September</v>
      </c>
      <c r="H198" s="24" t="str">
        <f t="shared" si="32"/>
        <v>Friday</v>
      </c>
      <c r="I198" s="22">
        <v>0.88201388888888888</v>
      </c>
      <c r="J198" s="24">
        <f t="shared" si="33"/>
        <v>21</v>
      </c>
      <c r="K198" s="24">
        <f t="shared" si="34"/>
        <v>10</v>
      </c>
      <c r="L198" s="24">
        <f t="shared" si="35"/>
        <v>6</v>
      </c>
      <c r="M198" t="s">
        <v>78</v>
      </c>
      <c r="N198" t="s">
        <v>79</v>
      </c>
      <c r="O198" s="24">
        <v>8</v>
      </c>
      <c r="P198" s="11">
        <v>170.88</v>
      </c>
      <c r="Q198" s="26">
        <f>VLOOKUP('Prepared Sales Dataset'!M198,'Product-cost'!A:B,2,FALSE)</f>
        <v>50</v>
      </c>
      <c r="R198" t="s">
        <v>35</v>
      </c>
      <c r="S198" t="s">
        <v>241</v>
      </c>
      <c r="T198" t="s">
        <v>109</v>
      </c>
      <c r="U198" t="s">
        <v>923</v>
      </c>
      <c r="V198" s="17">
        <f>P198*O198</f>
        <v>1367.04</v>
      </c>
      <c r="W198" s="19">
        <f>O198*Q198</f>
        <v>400</v>
      </c>
      <c r="X198" s="13">
        <f>VLOOKUP(R198,Taxrate!A:B,2,FALSE)</f>
        <v>0.2</v>
      </c>
      <c r="Y198" s="15">
        <f t="shared" si="36"/>
        <v>273.40800000000002</v>
      </c>
      <c r="Z198" s="9">
        <f>VLOOKUP(M198,'Discount Rate'!A:B,2,FALSE)</f>
        <v>0.03</v>
      </c>
      <c r="AA198" s="11">
        <f t="shared" si="37"/>
        <v>41.011199999999995</v>
      </c>
      <c r="AB198" s="15">
        <f t="shared" si="38"/>
        <v>1052.6207999999999</v>
      </c>
      <c r="AC198" s="15">
        <f t="shared" si="39"/>
        <v>652.62079999999992</v>
      </c>
    </row>
    <row r="199" spans="1:29" x14ac:dyDescent="0.35">
      <c r="A199" t="s">
        <v>491</v>
      </c>
      <c r="B199" t="s">
        <v>492</v>
      </c>
      <c r="C199" t="s">
        <v>47</v>
      </c>
      <c r="D199" t="s">
        <v>48</v>
      </c>
      <c r="E199" s="1">
        <v>45462</v>
      </c>
      <c r="F199" s="24">
        <f t="shared" si="30"/>
        <v>2024</v>
      </c>
      <c r="G199" s="24" t="str">
        <f t="shared" si="31"/>
        <v>June</v>
      </c>
      <c r="H199" s="24" t="str">
        <f t="shared" si="32"/>
        <v>Wednesday</v>
      </c>
      <c r="I199" s="22">
        <v>0.3652199074074074</v>
      </c>
      <c r="J199" s="24">
        <f t="shared" si="33"/>
        <v>8</v>
      </c>
      <c r="K199" s="24">
        <f t="shared" si="34"/>
        <v>45</v>
      </c>
      <c r="L199" s="24">
        <f t="shared" si="35"/>
        <v>55</v>
      </c>
      <c r="M199" t="s">
        <v>49</v>
      </c>
      <c r="N199" t="s">
        <v>50</v>
      </c>
      <c r="O199" s="24">
        <v>10</v>
      </c>
      <c r="P199" s="11">
        <v>200.64</v>
      </c>
      <c r="Q199" s="26">
        <f>VLOOKUP('Prepared Sales Dataset'!M199,'Product-cost'!A:B,2,FALSE)</f>
        <v>150</v>
      </c>
      <c r="R199" t="s">
        <v>28</v>
      </c>
      <c r="S199" t="s">
        <v>85</v>
      </c>
      <c r="T199" t="s">
        <v>231</v>
      </c>
      <c r="U199" t="s">
        <v>922</v>
      </c>
      <c r="V199" s="17">
        <f>P199*O199</f>
        <v>2006.3999999999999</v>
      </c>
      <c r="W199" s="19">
        <f>O199*Q199</f>
        <v>1500</v>
      </c>
      <c r="X199" s="13">
        <f>VLOOKUP(R199,Taxrate!A:B,2,FALSE)</f>
        <v>0.1</v>
      </c>
      <c r="Y199" s="15">
        <f t="shared" si="36"/>
        <v>200.64</v>
      </c>
      <c r="Z199" s="9">
        <f>VLOOKUP(M199,'Discount Rate'!A:B,2,FALSE)</f>
        <v>7.0000000000000007E-2</v>
      </c>
      <c r="AA199" s="11">
        <f t="shared" si="37"/>
        <v>140.44800000000001</v>
      </c>
      <c r="AB199" s="15">
        <f t="shared" si="38"/>
        <v>1665.3119999999999</v>
      </c>
      <c r="AC199" s="15">
        <f t="shared" si="39"/>
        <v>165.3119999999999</v>
      </c>
    </row>
    <row r="200" spans="1:29" x14ac:dyDescent="0.35">
      <c r="A200" t="s">
        <v>493</v>
      </c>
      <c r="B200" t="s">
        <v>494</v>
      </c>
      <c r="C200" t="s">
        <v>169</v>
      </c>
      <c r="D200" t="s">
        <v>170</v>
      </c>
      <c r="E200" s="1">
        <v>46070</v>
      </c>
      <c r="F200" s="24">
        <f t="shared" si="30"/>
        <v>2026</v>
      </c>
      <c r="G200" s="24" t="str">
        <f t="shared" si="31"/>
        <v>February</v>
      </c>
      <c r="H200" s="24" t="str">
        <f t="shared" si="32"/>
        <v>Tuesday</v>
      </c>
      <c r="I200" s="22">
        <v>0.36248842592592595</v>
      </c>
      <c r="J200" s="24">
        <f t="shared" si="33"/>
        <v>8</v>
      </c>
      <c r="K200" s="24">
        <f t="shared" si="34"/>
        <v>41</v>
      </c>
      <c r="L200" s="24">
        <f t="shared" si="35"/>
        <v>59</v>
      </c>
      <c r="M200" t="s">
        <v>26</v>
      </c>
      <c r="N200" t="s">
        <v>27</v>
      </c>
      <c r="O200" s="24">
        <v>8</v>
      </c>
      <c r="P200" s="11">
        <v>740.82</v>
      </c>
      <c r="Q200" s="26">
        <f>VLOOKUP('Prepared Sales Dataset'!M200,'Product-cost'!A:B,2,FALSE)</f>
        <v>300</v>
      </c>
      <c r="R200" t="s">
        <v>55</v>
      </c>
      <c r="S200" t="s">
        <v>272</v>
      </c>
      <c r="U200" t="s">
        <v>923</v>
      </c>
      <c r="V200" s="17">
        <f>P200*O200</f>
        <v>5926.56</v>
      </c>
      <c r="W200" s="19">
        <f>O200*Q200</f>
        <v>2400</v>
      </c>
      <c r="X200" s="13">
        <f>VLOOKUP(R200,Taxrate!A:B,2,FALSE)</f>
        <v>7.0000000000000007E-2</v>
      </c>
      <c r="Y200" s="15">
        <f t="shared" si="36"/>
        <v>414.85920000000004</v>
      </c>
      <c r="Z200" s="9">
        <f>VLOOKUP(M200,'Discount Rate'!A:B,2,FALSE)</f>
        <v>0.1</v>
      </c>
      <c r="AA200" s="11">
        <f t="shared" si="37"/>
        <v>592.65600000000006</v>
      </c>
      <c r="AB200" s="15">
        <f t="shared" si="38"/>
        <v>4919.0448000000006</v>
      </c>
      <c r="AC200" s="15">
        <f t="shared" si="39"/>
        <v>2519.0448000000006</v>
      </c>
    </row>
    <row r="201" spans="1:29" x14ac:dyDescent="0.35">
      <c r="A201" t="s">
        <v>495</v>
      </c>
      <c r="B201" t="s">
        <v>496</v>
      </c>
      <c r="C201" t="s">
        <v>24</v>
      </c>
      <c r="D201" t="s">
        <v>25</v>
      </c>
      <c r="E201" s="1">
        <v>45867</v>
      </c>
      <c r="F201" s="24">
        <f t="shared" si="30"/>
        <v>2025</v>
      </c>
      <c r="G201" s="24" t="str">
        <f t="shared" si="31"/>
        <v>July</v>
      </c>
      <c r="H201" s="24" t="str">
        <f t="shared" si="32"/>
        <v>Tuesday</v>
      </c>
      <c r="I201" s="22">
        <v>0.85865740740740737</v>
      </c>
      <c r="J201" s="24">
        <f t="shared" si="33"/>
        <v>20</v>
      </c>
      <c r="K201" s="24">
        <f t="shared" si="34"/>
        <v>36</v>
      </c>
      <c r="L201" s="24">
        <f t="shared" si="35"/>
        <v>28</v>
      </c>
      <c r="M201" t="s">
        <v>17</v>
      </c>
      <c r="N201" t="s">
        <v>18</v>
      </c>
      <c r="O201" s="24">
        <v>8</v>
      </c>
      <c r="P201" s="11">
        <v>1290.3399999999999</v>
      </c>
      <c r="Q201" s="26">
        <f>VLOOKUP('Prepared Sales Dataset'!M201,'Product-cost'!A:B,2,FALSE)</f>
        <v>600</v>
      </c>
      <c r="R201" t="s">
        <v>55</v>
      </c>
      <c r="S201" t="s">
        <v>56</v>
      </c>
      <c r="T201" t="s">
        <v>21</v>
      </c>
      <c r="U201" t="s">
        <v>921</v>
      </c>
      <c r="V201" s="17">
        <f>P201*O201</f>
        <v>10322.719999999999</v>
      </c>
      <c r="W201" s="19">
        <f>O201*Q201</f>
        <v>4800</v>
      </c>
      <c r="X201" s="13">
        <f>VLOOKUP(R201,Taxrate!A:B,2,FALSE)</f>
        <v>7.0000000000000007E-2</v>
      </c>
      <c r="Y201" s="15">
        <f t="shared" si="36"/>
        <v>722.59040000000005</v>
      </c>
      <c r="Z201" s="9">
        <f>VLOOKUP(M201,'Discount Rate'!A:B,2,FALSE)</f>
        <v>0.05</v>
      </c>
      <c r="AA201" s="11">
        <f t="shared" si="37"/>
        <v>516.13599999999997</v>
      </c>
      <c r="AB201" s="15">
        <f t="shared" si="38"/>
        <v>9083.9935999999998</v>
      </c>
      <c r="AC201" s="15">
        <f t="shared" si="39"/>
        <v>4283.9935999999998</v>
      </c>
    </row>
    <row r="202" spans="1:29" x14ac:dyDescent="0.35">
      <c r="A202" t="s">
        <v>497</v>
      </c>
      <c r="B202" t="s">
        <v>498</v>
      </c>
      <c r="C202" t="s">
        <v>128</v>
      </c>
      <c r="D202" t="s">
        <v>63</v>
      </c>
      <c r="E202" s="1">
        <v>46267</v>
      </c>
      <c r="F202" s="24">
        <f t="shared" si="30"/>
        <v>2026</v>
      </c>
      <c r="G202" s="24" t="str">
        <f t="shared" si="31"/>
        <v>September</v>
      </c>
      <c r="H202" s="24" t="str">
        <f t="shared" si="32"/>
        <v>Wednesday</v>
      </c>
      <c r="I202" s="22">
        <v>0.5582407407407407</v>
      </c>
      <c r="J202" s="24">
        <f t="shared" si="33"/>
        <v>13</v>
      </c>
      <c r="K202" s="24">
        <f t="shared" si="34"/>
        <v>23</v>
      </c>
      <c r="L202" s="24">
        <f t="shared" si="35"/>
        <v>52</v>
      </c>
      <c r="M202" t="s">
        <v>17</v>
      </c>
      <c r="N202" t="s">
        <v>18</v>
      </c>
      <c r="O202" s="24">
        <v>14</v>
      </c>
      <c r="P202" s="11">
        <v>1080.08</v>
      </c>
      <c r="Q202" s="26">
        <f>VLOOKUP('Prepared Sales Dataset'!M202,'Product-cost'!A:B,2,FALSE)</f>
        <v>600</v>
      </c>
      <c r="R202" t="s">
        <v>59</v>
      </c>
      <c r="S202" t="s">
        <v>241</v>
      </c>
      <c r="U202" t="s">
        <v>923</v>
      </c>
      <c r="V202" s="17">
        <f>P202*O202</f>
        <v>15121.119999999999</v>
      </c>
      <c r="W202" s="19">
        <f>O202*Q202</f>
        <v>8400</v>
      </c>
      <c r="X202" s="13">
        <f>VLOOKUP(R202,Taxrate!A:B,2,FALSE)</f>
        <v>0.12</v>
      </c>
      <c r="Y202" s="15">
        <f t="shared" si="36"/>
        <v>1814.5343999999998</v>
      </c>
      <c r="Z202" s="9">
        <f>VLOOKUP(M202,'Discount Rate'!A:B,2,FALSE)</f>
        <v>0.05</v>
      </c>
      <c r="AA202" s="11">
        <f t="shared" si="37"/>
        <v>756.05600000000004</v>
      </c>
      <c r="AB202" s="15">
        <f t="shared" si="38"/>
        <v>12550.529599999998</v>
      </c>
      <c r="AC202" s="15">
        <f t="shared" si="39"/>
        <v>4150.529599999998</v>
      </c>
    </row>
    <row r="203" spans="1:29" x14ac:dyDescent="0.35">
      <c r="A203" t="s">
        <v>499</v>
      </c>
      <c r="B203" t="s">
        <v>500</v>
      </c>
      <c r="C203" t="s">
        <v>40</v>
      </c>
      <c r="D203" t="s">
        <v>41</v>
      </c>
      <c r="E203" s="1">
        <v>46048</v>
      </c>
      <c r="F203" s="24">
        <f t="shared" si="30"/>
        <v>2026</v>
      </c>
      <c r="G203" s="24" t="str">
        <f t="shared" si="31"/>
        <v>January</v>
      </c>
      <c r="H203" s="24" t="str">
        <f t="shared" si="32"/>
        <v>Monday</v>
      </c>
      <c r="I203" s="22">
        <v>0.79585648148148147</v>
      </c>
      <c r="J203" s="24">
        <f t="shared" si="33"/>
        <v>19</v>
      </c>
      <c r="K203" s="24">
        <f t="shared" si="34"/>
        <v>6</v>
      </c>
      <c r="L203" s="24">
        <f t="shared" si="35"/>
        <v>2</v>
      </c>
      <c r="M203" t="s">
        <v>26</v>
      </c>
      <c r="N203" t="s">
        <v>27</v>
      </c>
      <c r="O203" s="24">
        <v>14</v>
      </c>
      <c r="P203" s="11">
        <v>696.47</v>
      </c>
      <c r="Q203" s="26">
        <f>VLOOKUP('Prepared Sales Dataset'!M203,'Product-cost'!A:B,2,FALSE)</f>
        <v>300</v>
      </c>
      <c r="R203" t="s">
        <v>55</v>
      </c>
      <c r="S203" t="s">
        <v>43</v>
      </c>
      <c r="T203" t="s">
        <v>142</v>
      </c>
      <c r="U203" t="s">
        <v>921</v>
      </c>
      <c r="V203" s="17">
        <f>P203*O203</f>
        <v>9750.58</v>
      </c>
      <c r="W203" s="19">
        <f>O203*Q203</f>
        <v>4200</v>
      </c>
      <c r="X203" s="13">
        <f>VLOOKUP(R203,Taxrate!A:B,2,FALSE)</f>
        <v>7.0000000000000007E-2</v>
      </c>
      <c r="Y203" s="15">
        <f t="shared" si="36"/>
        <v>682.54060000000004</v>
      </c>
      <c r="Z203" s="9">
        <f>VLOOKUP(M203,'Discount Rate'!A:B,2,FALSE)</f>
        <v>0.1</v>
      </c>
      <c r="AA203" s="11">
        <f t="shared" si="37"/>
        <v>975.05799999999999</v>
      </c>
      <c r="AB203" s="15">
        <f t="shared" si="38"/>
        <v>8092.9813999999997</v>
      </c>
      <c r="AC203" s="15">
        <f t="shared" si="39"/>
        <v>3892.9813999999997</v>
      </c>
    </row>
    <row r="204" spans="1:29" x14ac:dyDescent="0.35">
      <c r="A204" t="s">
        <v>501</v>
      </c>
      <c r="B204" t="s">
        <v>502</v>
      </c>
      <c r="C204" t="s">
        <v>15</v>
      </c>
      <c r="D204" t="s">
        <v>16</v>
      </c>
      <c r="E204" s="1">
        <v>45022</v>
      </c>
      <c r="F204" s="24">
        <f t="shared" si="30"/>
        <v>2023</v>
      </c>
      <c r="G204" s="24" t="str">
        <f t="shared" si="31"/>
        <v>April</v>
      </c>
      <c r="H204" s="24" t="str">
        <f t="shared" si="32"/>
        <v>Thursday</v>
      </c>
      <c r="I204" s="22">
        <v>0.87324074074074076</v>
      </c>
      <c r="J204" s="24">
        <f t="shared" si="33"/>
        <v>20</v>
      </c>
      <c r="K204" s="24">
        <f t="shared" si="34"/>
        <v>57</v>
      </c>
      <c r="L204" s="24">
        <f t="shared" si="35"/>
        <v>28</v>
      </c>
      <c r="M204" t="s">
        <v>78</v>
      </c>
      <c r="N204" t="s">
        <v>79</v>
      </c>
      <c r="O204" s="24">
        <v>9</v>
      </c>
      <c r="P204" s="11">
        <v>157.41</v>
      </c>
      <c r="Q204" s="26">
        <f>VLOOKUP('Prepared Sales Dataset'!M204,'Product-cost'!A:B,2,FALSE)</f>
        <v>50</v>
      </c>
      <c r="R204" t="s">
        <v>59</v>
      </c>
      <c r="S204" t="s">
        <v>36</v>
      </c>
      <c r="T204" t="s">
        <v>103</v>
      </c>
      <c r="U204" t="s">
        <v>921</v>
      </c>
      <c r="V204" s="17">
        <f>P204*O204</f>
        <v>1416.69</v>
      </c>
      <c r="W204" s="19">
        <f>O204*Q204</f>
        <v>450</v>
      </c>
      <c r="X204" s="13">
        <f>VLOOKUP(R204,Taxrate!A:B,2,FALSE)</f>
        <v>0.12</v>
      </c>
      <c r="Y204" s="15">
        <f t="shared" si="36"/>
        <v>170.00280000000001</v>
      </c>
      <c r="Z204" s="9">
        <f>VLOOKUP(M204,'Discount Rate'!A:B,2,FALSE)</f>
        <v>0.03</v>
      </c>
      <c r="AA204" s="11">
        <f t="shared" si="37"/>
        <v>42.500700000000002</v>
      </c>
      <c r="AB204" s="15">
        <f t="shared" si="38"/>
        <v>1204.1865</v>
      </c>
      <c r="AC204" s="15">
        <f t="shared" si="39"/>
        <v>754.18650000000002</v>
      </c>
    </row>
    <row r="205" spans="1:29" x14ac:dyDescent="0.35">
      <c r="A205" t="s">
        <v>503</v>
      </c>
      <c r="B205" t="s">
        <v>504</v>
      </c>
      <c r="C205" t="s">
        <v>179</v>
      </c>
      <c r="D205" t="s">
        <v>41</v>
      </c>
      <c r="E205" s="1">
        <v>45189</v>
      </c>
      <c r="F205" s="24">
        <f t="shared" si="30"/>
        <v>2023</v>
      </c>
      <c r="G205" s="24" t="str">
        <f t="shared" si="31"/>
        <v>September</v>
      </c>
      <c r="H205" s="24" t="str">
        <f t="shared" si="32"/>
        <v>Wednesday</v>
      </c>
      <c r="I205" s="22">
        <v>0.61293981481481485</v>
      </c>
      <c r="J205" s="24">
        <f t="shared" si="33"/>
        <v>14</v>
      </c>
      <c r="K205" s="24">
        <f t="shared" si="34"/>
        <v>42</v>
      </c>
      <c r="L205" s="24">
        <f t="shared" si="35"/>
        <v>38</v>
      </c>
      <c r="M205" t="s">
        <v>49</v>
      </c>
      <c r="N205" t="s">
        <v>50</v>
      </c>
      <c r="O205" s="24">
        <v>9</v>
      </c>
      <c r="P205" s="11">
        <v>222.05</v>
      </c>
      <c r="Q205" s="26">
        <f>VLOOKUP('Prepared Sales Dataset'!M205,'Product-cost'!A:B,2,FALSE)</f>
        <v>150</v>
      </c>
      <c r="R205" t="s">
        <v>59</v>
      </c>
      <c r="S205" t="s">
        <v>90</v>
      </c>
      <c r="T205" t="s">
        <v>133</v>
      </c>
      <c r="U205" t="s">
        <v>921</v>
      </c>
      <c r="V205" s="17">
        <f>P205*O205</f>
        <v>1998.45</v>
      </c>
      <c r="W205" s="19">
        <f>O205*Q205</f>
        <v>1350</v>
      </c>
      <c r="X205" s="13">
        <f>VLOOKUP(R205,Taxrate!A:B,2,FALSE)</f>
        <v>0.12</v>
      </c>
      <c r="Y205" s="15">
        <f t="shared" si="36"/>
        <v>239.81399999999999</v>
      </c>
      <c r="Z205" s="9">
        <f>VLOOKUP(M205,'Discount Rate'!A:B,2,FALSE)</f>
        <v>7.0000000000000007E-2</v>
      </c>
      <c r="AA205" s="11">
        <f t="shared" si="37"/>
        <v>139.89150000000001</v>
      </c>
      <c r="AB205" s="15">
        <f t="shared" si="38"/>
        <v>1618.7445</v>
      </c>
      <c r="AC205" s="15">
        <f t="shared" si="39"/>
        <v>268.74450000000002</v>
      </c>
    </row>
    <row r="206" spans="1:29" x14ac:dyDescent="0.35">
      <c r="A206" t="s">
        <v>505</v>
      </c>
      <c r="B206" t="s">
        <v>506</v>
      </c>
      <c r="C206" t="s">
        <v>98</v>
      </c>
      <c r="D206" t="s">
        <v>99</v>
      </c>
      <c r="E206" s="1">
        <v>45976</v>
      </c>
      <c r="F206" s="24">
        <f t="shared" si="30"/>
        <v>2025</v>
      </c>
      <c r="G206" s="24" t="str">
        <f t="shared" si="31"/>
        <v>November</v>
      </c>
      <c r="H206" s="24" t="str">
        <f t="shared" si="32"/>
        <v>Saturday</v>
      </c>
      <c r="I206" s="22">
        <v>0.90596064814814814</v>
      </c>
      <c r="J206" s="24">
        <f t="shared" si="33"/>
        <v>21</v>
      </c>
      <c r="K206" s="24">
        <f t="shared" si="34"/>
        <v>44</v>
      </c>
      <c r="L206" s="24">
        <f t="shared" si="35"/>
        <v>35</v>
      </c>
      <c r="M206" t="s">
        <v>33</v>
      </c>
      <c r="N206" t="s">
        <v>34</v>
      </c>
      <c r="O206" s="24">
        <v>15</v>
      </c>
      <c r="P206" s="11">
        <v>363.47</v>
      </c>
      <c r="Q206" s="26">
        <f>VLOOKUP('Prepared Sales Dataset'!M206,'Product-cost'!A:B,2,FALSE)</f>
        <v>200</v>
      </c>
      <c r="R206" t="s">
        <v>35</v>
      </c>
      <c r="S206" t="s">
        <v>100</v>
      </c>
      <c r="T206" t="s">
        <v>109</v>
      </c>
      <c r="U206" t="s">
        <v>923</v>
      </c>
      <c r="V206" s="17">
        <f>P206*O206</f>
        <v>5452.05</v>
      </c>
      <c r="W206" s="19">
        <f>O206*Q206</f>
        <v>3000</v>
      </c>
      <c r="X206" s="13">
        <f>VLOOKUP(R206,Taxrate!A:B,2,FALSE)</f>
        <v>0.2</v>
      </c>
      <c r="Y206" s="15">
        <f t="shared" si="36"/>
        <v>1090.4100000000001</v>
      </c>
      <c r="Z206" s="9">
        <f>VLOOKUP(M206,'Discount Rate'!A:B,2,FALSE)</f>
        <v>0.08</v>
      </c>
      <c r="AA206" s="11">
        <f t="shared" si="37"/>
        <v>436.16400000000004</v>
      </c>
      <c r="AB206" s="15">
        <f t="shared" si="38"/>
        <v>3925.4760000000001</v>
      </c>
      <c r="AC206" s="15">
        <f t="shared" si="39"/>
        <v>925.47600000000011</v>
      </c>
    </row>
    <row r="207" spans="1:29" x14ac:dyDescent="0.35">
      <c r="A207" t="s">
        <v>507</v>
      </c>
      <c r="B207" t="s">
        <v>508</v>
      </c>
      <c r="C207" t="s">
        <v>67</v>
      </c>
      <c r="D207" t="s">
        <v>16</v>
      </c>
      <c r="E207" s="1">
        <v>46381</v>
      </c>
      <c r="F207" s="24">
        <f t="shared" si="30"/>
        <v>2026</v>
      </c>
      <c r="G207" s="24" t="str">
        <f t="shared" si="31"/>
        <v>December</v>
      </c>
      <c r="H207" s="24" t="str">
        <f t="shared" si="32"/>
        <v>Friday</v>
      </c>
      <c r="I207" s="22">
        <v>0.84901620370370368</v>
      </c>
      <c r="J207" s="24">
        <f t="shared" si="33"/>
        <v>20</v>
      </c>
      <c r="K207" s="24">
        <f t="shared" si="34"/>
        <v>22</v>
      </c>
      <c r="L207" s="24">
        <f t="shared" si="35"/>
        <v>35</v>
      </c>
      <c r="M207" t="s">
        <v>78</v>
      </c>
      <c r="N207" t="s">
        <v>79</v>
      </c>
      <c r="O207" s="24">
        <v>11</v>
      </c>
      <c r="P207" s="11">
        <v>170.57</v>
      </c>
      <c r="Q207" s="26">
        <f>VLOOKUP('Prepared Sales Dataset'!M207,'Product-cost'!A:B,2,FALSE)</f>
        <v>50</v>
      </c>
      <c r="R207" t="s">
        <v>59</v>
      </c>
      <c r="S207" t="s">
        <v>20</v>
      </c>
      <c r="U207" t="s">
        <v>923</v>
      </c>
      <c r="V207" s="17">
        <f>P207*O207</f>
        <v>1876.27</v>
      </c>
      <c r="W207" s="19">
        <f>O207*Q207</f>
        <v>550</v>
      </c>
      <c r="X207" s="13">
        <f>VLOOKUP(R207,Taxrate!A:B,2,FALSE)</f>
        <v>0.12</v>
      </c>
      <c r="Y207" s="15">
        <f t="shared" si="36"/>
        <v>225.1524</v>
      </c>
      <c r="Z207" s="9">
        <f>VLOOKUP(M207,'Discount Rate'!A:B,2,FALSE)</f>
        <v>0.03</v>
      </c>
      <c r="AA207" s="11">
        <f t="shared" si="37"/>
        <v>56.2881</v>
      </c>
      <c r="AB207" s="15">
        <f t="shared" si="38"/>
        <v>1594.8295000000001</v>
      </c>
      <c r="AC207" s="15">
        <f t="shared" si="39"/>
        <v>1044.8295000000001</v>
      </c>
    </row>
    <row r="208" spans="1:29" x14ac:dyDescent="0.35">
      <c r="A208" t="s">
        <v>509</v>
      </c>
      <c r="B208" t="s">
        <v>510</v>
      </c>
      <c r="C208" t="s">
        <v>195</v>
      </c>
      <c r="D208" t="s">
        <v>63</v>
      </c>
      <c r="E208" s="1">
        <v>45256</v>
      </c>
      <c r="F208" s="24">
        <f t="shared" si="30"/>
        <v>2023</v>
      </c>
      <c r="G208" s="24" t="str">
        <f t="shared" si="31"/>
        <v>November</v>
      </c>
      <c r="H208" s="24" t="str">
        <f t="shared" si="32"/>
        <v>Sunday</v>
      </c>
      <c r="I208" s="22">
        <v>0.76121527777777775</v>
      </c>
      <c r="J208" s="24">
        <f t="shared" si="33"/>
        <v>18</v>
      </c>
      <c r="K208" s="24">
        <f t="shared" si="34"/>
        <v>16</v>
      </c>
      <c r="L208" s="24">
        <f t="shared" si="35"/>
        <v>9</v>
      </c>
      <c r="M208" t="s">
        <v>17</v>
      </c>
      <c r="N208" t="s">
        <v>18</v>
      </c>
      <c r="O208" s="24">
        <v>5</v>
      </c>
      <c r="P208" s="11">
        <v>1070.5899999999999</v>
      </c>
      <c r="Q208" s="26">
        <f>VLOOKUP('Prepared Sales Dataset'!M208,'Product-cost'!A:B,2,FALSE)</f>
        <v>600</v>
      </c>
      <c r="R208" t="s">
        <v>28</v>
      </c>
      <c r="S208" t="s">
        <v>241</v>
      </c>
      <c r="T208" t="s">
        <v>44</v>
      </c>
      <c r="U208" t="s">
        <v>921</v>
      </c>
      <c r="V208" s="17">
        <f>P208*O208</f>
        <v>5352.95</v>
      </c>
      <c r="W208" s="19">
        <f>O208*Q208</f>
        <v>3000</v>
      </c>
      <c r="X208" s="13">
        <f>VLOOKUP(R208,Taxrate!A:B,2,FALSE)</f>
        <v>0.1</v>
      </c>
      <c r="Y208" s="15">
        <f t="shared" si="36"/>
        <v>535.29499999999996</v>
      </c>
      <c r="Z208" s="9">
        <f>VLOOKUP(M208,'Discount Rate'!A:B,2,FALSE)</f>
        <v>0.05</v>
      </c>
      <c r="AA208" s="11">
        <f t="shared" si="37"/>
        <v>267.64749999999998</v>
      </c>
      <c r="AB208" s="15">
        <f t="shared" si="38"/>
        <v>4550.0074999999997</v>
      </c>
      <c r="AC208" s="15">
        <f t="shared" si="39"/>
        <v>1550.0074999999997</v>
      </c>
    </row>
    <row r="209" spans="1:29" x14ac:dyDescent="0.35">
      <c r="A209" t="s">
        <v>511</v>
      </c>
      <c r="B209" t="s">
        <v>512</v>
      </c>
      <c r="C209" t="s">
        <v>128</v>
      </c>
      <c r="D209" t="s">
        <v>63</v>
      </c>
      <c r="E209" s="1">
        <v>45708</v>
      </c>
      <c r="F209" s="24">
        <f t="shared" si="30"/>
        <v>2025</v>
      </c>
      <c r="G209" s="24" t="str">
        <f t="shared" si="31"/>
        <v>February</v>
      </c>
      <c r="H209" s="24" t="str">
        <f t="shared" si="32"/>
        <v>Thursday</v>
      </c>
      <c r="I209" s="22">
        <v>0.6185532407407407</v>
      </c>
      <c r="J209" s="24">
        <f t="shared" si="33"/>
        <v>14</v>
      </c>
      <c r="K209" s="24">
        <f t="shared" si="34"/>
        <v>50</v>
      </c>
      <c r="L209" s="24">
        <f t="shared" si="35"/>
        <v>43</v>
      </c>
      <c r="M209" t="s">
        <v>33</v>
      </c>
      <c r="N209" t="s">
        <v>34</v>
      </c>
      <c r="O209" s="24">
        <v>1</v>
      </c>
      <c r="P209" s="11">
        <v>506</v>
      </c>
      <c r="Q209" s="26">
        <f>VLOOKUP('Prepared Sales Dataset'!M209,'Product-cost'!A:B,2,FALSE)</f>
        <v>200</v>
      </c>
      <c r="R209" t="s">
        <v>28</v>
      </c>
      <c r="S209" t="s">
        <v>241</v>
      </c>
      <c r="T209" t="s">
        <v>95</v>
      </c>
      <c r="U209" t="s">
        <v>921</v>
      </c>
      <c r="V209" s="17">
        <f>P209*O209</f>
        <v>506</v>
      </c>
      <c r="W209" s="19">
        <f>O209*Q209</f>
        <v>200</v>
      </c>
      <c r="X209" s="13">
        <f>VLOOKUP(R209,Taxrate!A:B,2,FALSE)</f>
        <v>0.1</v>
      </c>
      <c r="Y209" s="15">
        <f t="shared" si="36"/>
        <v>50.6</v>
      </c>
      <c r="Z209" s="9">
        <f>VLOOKUP(M209,'Discount Rate'!A:B,2,FALSE)</f>
        <v>0.08</v>
      </c>
      <c r="AA209" s="11">
        <f t="shared" si="37"/>
        <v>40.480000000000004</v>
      </c>
      <c r="AB209" s="15">
        <f t="shared" si="38"/>
        <v>414.91999999999996</v>
      </c>
      <c r="AC209" s="15">
        <f t="shared" si="39"/>
        <v>214.91999999999996</v>
      </c>
    </row>
    <row r="210" spans="1:29" x14ac:dyDescent="0.35">
      <c r="A210" t="s">
        <v>513</v>
      </c>
      <c r="B210" t="s">
        <v>514</v>
      </c>
      <c r="C210" t="s">
        <v>40</v>
      </c>
      <c r="D210" t="s">
        <v>41</v>
      </c>
      <c r="E210" s="1">
        <v>45323</v>
      </c>
      <c r="F210" s="24">
        <f t="shared" si="30"/>
        <v>2024</v>
      </c>
      <c r="G210" s="24" t="str">
        <f t="shared" si="31"/>
        <v>February</v>
      </c>
      <c r="H210" s="24" t="str">
        <f t="shared" si="32"/>
        <v>Thursday</v>
      </c>
      <c r="I210" s="22">
        <v>0.63313657407407409</v>
      </c>
      <c r="J210" s="24">
        <f t="shared" si="33"/>
        <v>15</v>
      </c>
      <c r="K210" s="24">
        <f t="shared" si="34"/>
        <v>11</v>
      </c>
      <c r="L210" s="24">
        <f t="shared" si="35"/>
        <v>43</v>
      </c>
      <c r="M210" t="s">
        <v>17</v>
      </c>
      <c r="N210" t="s">
        <v>18</v>
      </c>
      <c r="O210" s="24">
        <v>3</v>
      </c>
      <c r="P210" s="11">
        <v>859.68</v>
      </c>
      <c r="Q210" s="26">
        <f>VLOOKUP('Prepared Sales Dataset'!M210,'Product-cost'!A:B,2,FALSE)</f>
        <v>600</v>
      </c>
      <c r="R210" t="s">
        <v>55</v>
      </c>
      <c r="S210" t="s">
        <v>90</v>
      </c>
      <c r="U210" t="s">
        <v>923</v>
      </c>
      <c r="V210" s="17">
        <f>P210*O210</f>
        <v>2579.04</v>
      </c>
      <c r="W210" s="19">
        <f>O210*Q210</f>
        <v>1800</v>
      </c>
      <c r="X210" s="13">
        <f>VLOOKUP(R210,Taxrate!A:B,2,FALSE)</f>
        <v>7.0000000000000007E-2</v>
      </c>
      <c r="Y210" s="15">
        <f t="shared" si="36"/>
        <v>180.53280000000001</v>
      </c>
      <c r="Z210" s="9">
        <f>VLOOKUP(M210,'Discount Rate'!A:B,2,FALSE)</f>
        <v>0.05</v>
      </c>
      <c r="AA210" s="11">
        <f t="shared" si="37"/>
        <v>128.952</v>
      </c>
      <c r="AB210" s="15">
        <f t="shared" si="38"/>
        <v>2269.5551999999998</v>
      </c>
      <c r="AC210" s="15">
        <f t="shared" si="39"/>
        <v>469.55519999999979</v>
      </c>
    </row>
    <row r="211" spans="1:29" x14ac:dyDescent="0.35">
      <c r="A211" t="s">
        <v>515</v>
      </c>
      <c r="B211" t="s">
        <v>339</v>
      </c>
      <c r="C211" t="s">
        <v>139</v>
      </c>
      <c r="D211" t="s">
        <v>25</v>
      </c>
      <c r="E211" s="1">
        <v>46149</v>
      </c>
      <c r="F211" s="24">
        <f t="shared" si="30"/>
        <v>2026</v>
      </c>
      <c r="G211" s="24" t="str">
        <f t="shared" si="31"/>
        <v>May</v>
      </c>
      <c r="H211" s="24" t="str">
        <f t="shared" si="32"/>
        <v>Thursday</v>
      </c>
      <c r="I211" s="22">
        <v>0.87476851851851856</v>
      </c>
      <c r="J211" s="24">
        <f t="shared" si="33"/>
        <v>20</v>
      </c>
      <c r="K211" s="24">
        <f t="shared" si="34"/>
        <v>59</v>
      </c>
      <c r="L211" s="24">
        <f t="shared" si="35"/>
        <v>40</v>
      </c>
      <c r="M211" t="s">
        <v>49</v>
      </c>
      <c r="N211" t="s">
        <v>50</v>
      </c>
      <c r="O211" s="24">
        <v>5</v>
      </c>
      <c r="P211" s="11">
        <v>238.99</v>
      </c>
      <c r="Q211" s="26">
        <f>VLOOKUP('Prepared Sales Dataset'!M211,'Product-cost'!A:B,2,FALSE)</f>
        <v>150</v>
      </c>
      <c r="R211" t="s">
        <v>28</v>
      </c>
      <c r="S211" t="s">
        <v>155</v>
      </c>
      <c r="T211" t="s">
        <v>125</v>
      </c>
      <c r="U211" t="s">
        <v>921</v>
      </c>
      <c r="V211" s="17">
        <f>P211*O211</f>
        <v>1194.95</v>
      </c>
      <c r="W211" s="19">
        <f>O211*Q211</f>
        <v>750</v>
      </c>
      <c r="X211" s="13">
        <f>VLOOKUP(R211,Taxrate!A:B,2,FALSE)</f>
        <v>0.1</v>
      </c>
      <c r="Y211" s="15">
        <f t="shared" si="36"/>
        <v>119.495</v>
      </c>
      <c r="Z211" s="9">
        <f>VLOOKUP(M211,'Discount Rate'!A:B,2,FALSE)</f>
        <v>7.0000000000000007E-2</v>
      </c>
      <c r="AA211" s="11">
        <f t="shared" si="37"/>
        <v>83.646500000000017</v>
      </c>
      <c r="AB211" s="15">
        <f t="shared" si="38"/>
        <v>991.80850000000009</v>
      </c>
      <c r="AC211" s="15">
        <f t="shared" si="39"/>
        <v>241.80850000000009</v>
      </c>
    </row>
    <row r="212" spans="1:29" x14ac:dyDescent="0.35">
      <c r="A212" t="s">
        <v>516</v>
      </c>
      <c r="B212" t="s">
        <v>517</v>
      </c>
      <c r="C212" t="s">
        <v>67</v>
      </c>
      <c r="D212" t="s">
        <v>16</v>
      </c>
      <c r="E212" s="1">
        <v>45115</v>
      </c>
      <c r="F212" s="24">
        <f t="shared" si="30"/>
        <v>2023</v>
      </c>
      <c r="G212" s="24" t="str">
        <f t="shared" si="31"/>
        <v>July</v>
      </c>
      <c r="H212" s="24" t="str">
        <f t="shared" si="32"/>
        <v>Saturday</v>
      </c>
      <c r="I212" s="22">
        <v>0.49737268518518518</v>
      </c>
      <c r="J212" s="24">
        <f t="shared" si="33"/>
        <v>11</v>
      </c>
      <c r="K212" s="24">
        <f t="shared" si="34"/>
        <v>56</v>
      </c>
      <c r="L212" s="24">
        <f t="shared" si="35"/>
        <v>13</v>
      </c>
      <c r="M212" t="s">
        <v>33</v>
      </c>
      <c r="N212" t="s">
        <v>34</v>
      </c>
      <c r="O212" s="24">
        <v>5</v>
      </c>
      <c r="P212" s="11">
        <v>470.53</v>
      </c>
      <c r="Q212" s="26">
        <f>VLOOKUP('Prepared Sales Dataset'!M212,'Product-cost'!A:B,2,FALSE)</f>
        <v>200</v>
      </c>
      <c r="R212" t="s">
        <v>59</v>
      </c>
      <c r="S212" t="s">
        <v>20</v>
      </c>
      <c r="U212" t="s">
        <v>923</v>
      </c>
      <c r="V212" s="17">
        <f>P212*O212</f>
        <v>2352.6499999999996</v>
      </c>
      <c r="W212" s="19">
        <f>O212*Q212</f>
        <v>1000</v>
      </c>
      <c r="X212" s="13">
        <f>VLOOKUP(R212,Taxrate!A:B,2,FALSE)</f>
        <v>0.12</v>
      </c>
      <c r="Y212" s="15">
        <f t="shared" si="36"/>
        <v>282.31799999999993</v>
      </c>
      <c r="Z212" s="9">
        <f>VLOOKUP(M212,'Discount Rate'!A:B,2,FALSE)</f>
        <v>0.08</v>
      </c>
      <c r="AA212" s="11">
        <f t="shared" si="37"/>
        <v>188.21199999999996</v>
      </c>
      <c r="AB212" s="15">
        <f t="shared" si="38"/>
        <v>1882.12</v>
      </c>
      <c r="AC212" s="15">
        <f t="shared" si="39"/>
        <v>882.11999999999989</v>
      </c>
    </row>
    <row r="213" spans="1:29" x14ac:dyDescent="0.35">
      <c r="A213" t="s">
        <v>518</v>
      </c>
      <c r="B213" t="s">
        <v>344</v>
      </c>
      <c r="C213" t="s">
        <v>98</v>
      </c>
      <c r="D213" t="s">
        <v>99</v>
      </c>
      <c r="E213" s="1">
        <v>45426</v>
      </c>
      <c r="F213" s="24">
        <f t="shared" si="30"/>
        <v>2024</v>
      </c>
      <c r="G213" s="24" t="str">
        <f t="shared" si="31"/>
        <v>May</v>
      </c>
      <c r="H213" s="24" t="str">
        <f t="shared" si="32"/>
        <v>Tuesday</v>
      </c>
      <c r="I213" s="22">
        <v>0.78912037037037042</v>
      </c>
      <c r="J213" s="24">
        <f t="shared" si="33"/>
        <v>18</v>
      </c>
      <c r="K213" s="24">
        <f t="shared" si="34"/>
        <v>56</v>
      </c>
      <c r="L213" s="24">
        <f t="shared" si="35"/>
        <v>20</v>
      </c>
      <c r="M213" t="s">
        <v>78</v>
      </c>
      <c r="N213" t="s">
        <v>79</v>
      </c>
      <c r="O213" s="24">
        <v>2</v>
      </c>
      <c r="P213" s="11">
        <v>160.52000000000001</v>
      </c>
      <c r="Q213" s="26">
        <f>VLOOKUP('Prepared Sales Dataset'!M213,'Product-cost'!A:B,2,FALSE)</f>
        <v>50</v>
      </c>
      <c r="R213" t="s">
        <v>28</v>
      </c>
      <c r="S213" t="s">
        <v>100</v>
      </c>
      <c r="T213" t="s">
        <v>172</v>
      </c>
      <c r="U213" t="s">
        <v>921</v>
      </c>
      <c r="V213" s="17">
        <f>P213*O213</f>
        <v>321.04000000000002</v>
      </c>
      <c r="W213" s="19">
        <f>O213*Q213</f>
        <v>100</v>
      </c>
      <c r="X213" s="13">
        <f>VLOOKUP(R213,Taxrate!A:B,2,FALSE)</f>
        <v>0.1</v>
      </c>
      <c r="Y213" s="15">
        <f t="shared" si="36"/>
        <v>32.104000000000006</v>
      </c>
      <c r="Z213" s="9">
        <f>VLOOKUP(M213,'Discount Rate'!A:B,2,FALSE)</f>
        <v>0.03</v>
      </c>
      <c r="AA213" s="11">
        <f t="shared" si="37"/>
        <v>9.6311999999999998</v>
      </c>
      <c r="AB213" s="15">
        <f t="shared" si="38"/>
        <v>279.3048</v>
      </c>
      <c r="AC213" s="15">
        <f t="shared" si="39"/>
        <v>179.3048</v>
      </c>
    </row>
    <row r="214" spans="1:29" x14ac:dyDescent="0.35">
      <c r="A214" t="s">
        <v>519</v>
      </c>
      <c r="B214" t="s">
        <v>520</v>
      </c>
      <c r="C214" t="s">
        <v>195</v>
      </c>
      <c r="D214" t="s">
        <v>63</v>
      </c>
      <c r="E214" s="1">
        <v>45979</v>
      </c>
      <c r="F214" s="24">
        <f t="shared" si="30"/>
        <v>2025</v>
      </c>
      <c r="G214" s="24" t="str">
        <f t="shared" si="31"/>
        <v>November</v>
      </c>
      <c r="H214" s="24" t="str">
        <f t="shared" si="32"/>
        <v>Tuesday</v>
      </c>
      <c r="I214" s="22">
        <v>0.3825115740740741</v>
      </c>
      <c r="J214" s="24">
        <f t="shared" si="33"/>
        <v>9</v>
      </c>
      <c r="K214" s="24">
        <f t="shared" si="34"/>
        <v>10</v>
      </c>
      <c r="L214" s="24">
        <f t="shared" si="35"/>
        <v>49</v>
      </c>
      <c r="M214" t="s">
        <v>49</v>
      </c>
      <c r="N214" t="s">
        <v>50</v>
      </c>
      <c r="O214" s="24">
        <v>11</v>
      </c>
      <c r="P214" s="11">
        <v>506</v>
      </c>
      <c r="Q214" s="26">
        <f>VLOOKUP('Prepared Sales Dataset'!M214,'Product-cost'!A:B,2,FALSE)</f>
        <v>150</v>
      </c>
      <c r="R214" t="s">
        <v>35</v>
      </c>
      <c r="S214" t="s">
        <v>241</v>
      </c>
      <c r="T214" t="s">
        <v>231</v>
      </c>
      <c r="U214" t="s">
        <v>922</v>
      </c>
      <c r="V214" s="17">
        <f>P214*O214</f>
        <v>5566</v>
      </c>
      <c r="W214" s="19">
        <f>O214*Q214</f>
        <v>1650</v>
      </c>
      <c r="X214" s="13">
        <f>VLOOKUP(R214,Taxrate!A:B,2,FALSE)</f>
        <v>0.2</v>
      </c>
      <c r="Y214" s="15">
        <f t="shared" si="36"/>
        <v>1113.2</v>
      </c>
      <c r="Z214" s="9">
        <f>VLOOKUP(M214,'Discount Rate'!A:B,2,FALSE)</f>
        <v>7.0000000000000007E-2</v>
      </c>
      <c r="AA214" s="11">
        <f t="shared" si="37"/>
        <v>389.62000000000006</v>
      </c>
      <c r="AB214" s="15">
        <f t="shared" si="38"/>
        <v>4063.18</v>
      </c>
      <c r="AC214" s="15">
        <f t="shared" si="39"/>
        <v>2413.1799999999998</v>
      </c>
    </row>
    <row r="215" spans="1:29" x14ac:dyDescent="0.35">
      <c r="A215" t="s">
        <v>521</v>
      </c>
      <c r="B215" t="s">
        <v>522</v>
      </c>
      <c r="C215" t="s">
        <v>407</v>
      </c>
      <c r="D215" t="s">
        <v>48</v>
      </c>
      <c r="E215" s="1">
        <v>45606</v>
      </c>
      <c r="F215" s="24">
        <f t="shared" si="30"/>
        <v>2024</v>
      </c>
      <c r="G215" s="24" t="str">
        <f t="shared" si="31"/>
        <v>November</v>
      </c>
      <c r="H215" s="24" t="str">
        <f t="shared" si="32"/>
        <v>Sunday</v>
      </c>
      <c r="I215" s="22">
        <v>0.3778125</v>
      </c>
      <c r="J215" s="24">
        <f t="shared" si="33"/>
        <v>9</v>
      </c>
      <c r="K215" s="24">
        <f t="shared" si="34"/>
        <v>4</v>
      </c>
      <c r="L215" s="24">
        <f t="shared" si="35"/>
        <v>3</v>
      </c>
      <c r="M215" t="s">
        <v>26</v>
      </c>
      <c r="N215" t="s">
        <v>27</v>
      </c>
      <c r="O215" s="24">
        <v>9</v>
      </c>
      <c r="P215" s="11">
        <v>506</v>
      </c>
      <c r="Q215" s="26">
        <f>VLOOKUP('Prepared Sales Dataset'!M215,'Product-cost'!A:B,2,FALSE)</f>
        <v>300</v>
      </c>
      <c r="R215" t="s">
        <v>35</v>
      </c>
      <c r="S215" t="s">
        <v>51</v>
      </c>
      <c r="T215" t="s">
        <v>142</v>
      </c>
      <c r="U215" t="s">
        <v>921</v>
      </c>
      <c r="V215" s="17">
        <f>P215*O215</f>
        <v>4554</v>
      </c>
      <c r="W215" s="19">
        <f>O215*Q215</f>
        <v>2700</v>
      </c>
      <c r="X215" s="13">
        <f>VLOOKUP(R215,Taxrate!A:B,2,FALSE)</f>
        <v>0.2</v>
      </c>
      <c r="Y215" s="15">
        <f t="shared" si="36"/>
        <v>910.80000000000007</v>
      </c>
      <c r="Z215" s="9">
        <f>VLOOKUP(M215,'Discount Rate'!A:B,2,FALSE)</f>
        <v>0.1</v>
      </c>
      <c r="AA215" s="11">
        <f t="shared" si="37"/>
        <v>455.40000000000003</v>
      </c>
      <c r="AB215" s="15">
        <f t="shared" si="38"/>
        <v>3187.8</v>
      </c>
      <c r="AC215" s="15">
        <f t="shared" si="39"/>
        <v>487.80000000000018</v>
      </c>
    </row>
    <row r="216" spans="1:29" x14ac:dyDescent="0.35">
      <c r="A216" t="s">
        <v>523</v>
      </c>
      <c r="B216" t="s">
        <v>315</v>
      </c>
      <c r="C216" t="s">
        <v>407</v>
      </c>
      <c r="D216" t="s">
        <v>48</v>
      </c>
      <c r="E216" s="1">
        <v>46193</v>
      </c>
      <c r="F216" s="24">
        <f t="shared" si="30"/>
        <v>2026</v>
      </c>
      <c r="G216" s="24" t="str">
        <f t="shared" si="31"/>
        <v>June</v>
      </c>
      <c r="H216" s="24" t="str">
        <f t="shared" si="32"/>
        <v>Saturday</v>
      </c>
      <c r="I216" s="22">
        <v>0.86640046296296291</v>
      </c>
      <c r="J216" s="24">
        <f t="shared" si="33"/>
        <v>20</v>
      </c>
      <c r="K216" s="24">
        <f t="shared" si="34"/>
        <v>47</v>
      </c>
      <c r="L216" s="24">
        <f t="shared" si="35"/>
        <v>37</v>
      </c>
      <c r="M216" t="s">
        <v>17</v>
      </c>
      <c r="N216" t="s">
        <v>18</v>
      </c>
      <c r="O216" s="24">
        <v>2</v>
      </c>
      <c r="P216" s="11">
        <v>1051.42</v>
      </c>
      <c r="Q216" s="26">
        <f>VLOOKUP('Prepared Sales Dataset'!M216,'Product-cost'!A:B,2,FALSE)</f>
        <v>600</v>
      </c>
      <c r="R216" t="s">
        <v>28</v>
      </c>
      <c r="S216" t="s">
        <v>94</v>
      </c>
      <c r="T216" t="s">
        <v>95</v>
      </c>
      <c r="U216" t="s">
        <v>921</v>
      </c>
      <c r="V216" s="17">
        <f>P216*O216</f>
        <v>2102.84</v>
      </c>
      <c r="W216" s="19">
        <f>O216*Q216</f>
        <v>1200</v>
      </c>
      <c r="X216" s="13">
        <f>VLOOKUP(R216,Taxrate!A:B,2,FALSE)</f>
        <v>0.1</v>
      </c>
      <c r="Y216" s="15">
        <f t="shared" si="36"/>
        <v>210.28400000000002</v>
      </c>
      <c r="Z216" s="9">
        <f>VLOOKUP(M216,'Discount Rate'!A:B,2,FALSE)</f>
        <v>0.05</v>
      </c>
      <c r="AA216" s="11">
        <f t="shared" si="37"/>
        <v>105.14200000000001</v>
      </c>
      <c r="AB216" s="15">
        <f t="shared" si="38"/>
        <v>1787.4140000000002</v>
      </c>
      <c r="AC216" s="15">
        <f t="shared" si="39"/>
        <v>587.41400000000021</v>
      </c>
    </row>
    <row r="217" spans="1:29" x14ac:dyDescent="0.35">
      <c r="A217" t="s">
        <v>524</v>
      </c>
      <c r="B217" t="s">
        <v>525</v>
      </c>
      <c r="C217" t="s">
        <v>67</v>
      </c>
      <c r="D217" t="s">
        <v>16</v>
      </c>
      <c r="E217" s="1">
        <v>45206</v>
      </c>
      <c r="F217" s="24">
        <f t="shared" si="30"/>
        <v>2023</v>
      </c>
      <c r="G217" s="24" t="str">
        <f t="shared" si="31"/>
        <v>October</v>
      </c>
      <c r="H217" s="24" t="str">
        <f t="shared" si="32"/>
        <v>Saturday</v>
      </c>
      <c r="I217" s="22">
        <v>0.86937500000000001</v>
      </c>
      <c r="J217" s="24">
        <f t="shared" si="33"/>
        <v>20</v>
      </c>
      <c r="K217" s="24">
        <f t="shared" si="34"/>
        <v>51</v>
      </c>
      <c r="L217" s="24">
        <f t="shared" si="35"/>
        <v>54</v>
      </c>
      <c r="M217" t="s">
        <v>49</v>
      </c>
      <c r="N217" t="s">
        <v>50</v>
      </c>
      <c r="O217" s="24">
        <v>11</v>
      </c>
      <c r="P217" s="11">
        <v>250.5</v>
      </c>
      <c r="Q217" s="26">
        <f>VLOOKUP('Prepared Sales Dataset'!M217,'Product-cost'!A:B,2,FALSE)</f>
        <v>150</v>
      </c>
      <c r="R217" t="s">
        <v>28</v>
      </c>
      <c r="S217" t="s">
        <v>36</v>
      </c>
      <c r="U217" t="s">
        <v>923</v>
      </c>
      <c r="V217" s="17">
        <f>P217*O217</f>
        <v>2755.5</v>
      </c>
      <c r="W217" s="19">
        <f>O217*Q217</f>
        <v>1650</v>
      </c>
      <c r="X217" s="13">
        <f>VLOOKUP(R217,Taxrate!A:B,2,FALSE)</f>
        <v>0.1</v>
      </c>
      <c r="Y217" s="15">
        <f t="shared" si="36"/>
        <v>275.55</v>
      </c>
      <c r="Z217" s="9">
        <f>VLOOKUP(M217,'Discount Rate'!A:B,2,FALSE)</f>
        <v>7.0000000000000007E-2</v>
      </c>
      <c r="AA217" s="11">
        <f t="shared" si="37"/>
        <v>192.88500000000002</v>
      </c>
      <c r="AB217" s="15">
        <f t="shared" si="38"/>
        <v>2287.0650000000001</v>
      </c>
      <c r="AC217" s="15">
        <f t="shared" si="39"/>
        <v>637.06500000000005</v>
      </c>
    </row>
    <row r="218" spans="1:29" x14ac:dyDescent="0.35">
      <c r="A218" t="s">
        <v>526</v>
      </c>
      <c r="B218" t="s">
        <v>527</v>
      </c>
      <c r="C218" t="s">
        <v>67</v>
      </c>
      <c r="D218" t="s">
        <v>16</v>
      </c>
      <c r="E218" s="1">
        <v>45551</v>
      </c>
      <c r="F218" s="24">
        <f t="shared" si="30"/>
        <v>2024</v>
      </c>
      <c r="G218" s="24" t="str">
        <f t="shared" si="31"/>
        <v>September</v>
      </c>
      <c r="H218" s="24" t="str">
        <f t="shared" si="32"/>
        <v>Monday</v>
      </c>
      <c r="I218" s="22">
        <v>0.82496527777777773</v>
      </c>
      <c r="J218" s="24">
        <f t="shared" si="33"/>
        <v>19</v>
      </c>
      <c r="K218" s="24">
        <f t="shared" si="34"/>
        <v>47</v>
      </c>
      <c r="L218" s="24">
        <f t="shared" si="35"/>
        <v>57</v>
      </c>
      <c r="M218" t="s">
        <v>33</v>
      </c>
      <c r="N218" t="s">
        <v>34</v>
      </c>
      <c r="O218" s="24">
        <v>15</v>
      </c>
      <c r="P218" s="11">
        <v>422.51</v>
      </c>
      <c r="Q218" s="26">
        <f>VLOOKUP('Prepared Sales Dataset'!M218,'Product-cost'!A:B,2,FALSE)</f>
        <v>200</v>
      </c>
      <c r="R218" t="s">
        <v>35</v>
      </c>
      <c r="S218" t="s">
        <v>36</v>
      </c>
      <c r="T218" t="s">
        <v>37</v>
      </c>
      <c r="U218" t="s">
        <v>921</v>
      </c>
      <c r="V218" s="17">
        <f>P218*O218</f>
        <v>6337.65</v>
      </c>
      <c r="W218" s="19">
        <f>O218*Q218</f>
        <v>3000</v>
      </c>
      <c r="X218" s="13">
        <f>VLOOKUP(R218,Taxrate!A:B,2,FALSE)</f>
        <v>0.2</v>
      </c>
      <c r="Y218" s="15">
        <f t="shared" si="36"/>
        <v>1267.53</v>
      </c>
      <c r="Z218" s="9">
        <f>VLOOKUP(M218,'Discount Rate'!A:B,2,FALSE)</f>
        <v>0.08</v>
      </c>
      <c r="AA218" s="11">
        <f t="shared" si="37"/>
        <v>507.012</v>
      </c>
      <c r="AB218" s="15">
        <f t="shared" si="38"/>
        <v>4563.1080000000002</v>
      </c>
      <c r="AC218" s="15">
        <f t="shared" si="39"/>
        <v>1563.1080000000002</v>
      </c>
    </row>
    <row r="219" spans="1:29" x14ac:dyDescent="0.35">
      <c r="A219" t="s">
        <v>528</v>
      </c>
      <c r="B219" t="s">
        <v>529</v>
      </c>
      <c r="C219" t="s">
        <v>67</v>
      </c>
      <c r="D219" t="s">
        <v>16</v>
      </c>
      <c r="E219" s="1">
        <v>46247</v>
      </c>
      <c r="F219" s="24">
        <f t="shared" si="30"/>
        <v>2026</v>
      </c>
      <c r="G219" s="24" t="str">
        <f t="shared" si="31"/>
        <v>August</v>
      </c>
      <c r="H219" s="24" t="str">
        <f t="shared" si="32"/>
        <v>Thursday</v>
      </c>
      <c r="I219" s="22">
        <v>0.52921296296296294</v>
      </c>
      <c r="J219" s="24">
        <f t="shared" si="33"/>
        <v>12</v>
      </c>
      <c r="K219" s="24">
        <f t="shared" si="34"/>
        <v>42</v>
      </c>
      <c r="L219" s="24">
        <f t="shared" si="35"/>
        <v>4</v>
      </c>
      <c r="M219" t="s">
        <v>33</v>
      </c>
      <c r="N219" t="s">
        <v>34</v>
      </c>
      <c r="O219" s="24">
        <v>8</v>
      </c>
      <c r="P219" s="11">
        <v>417.44</v>
      </c>
      <c r="Q219" s="26">
        <f>VLOOKUP('Prepared Sales Dataset'!M219,'Product-cost'!A:B,2,FALSE)</f>
        <v>200</v>
      </c>
      <c r="R219" t="s">
        <v>28</v>
      </c>
      <c r="S219" t="s">
        <v>20</v>
      </c>
      <c r="U219" t="s">
        <v>923</v>
      </c>
      <c r="V219" s="17">
        <f>P219*O219</f>
        <v>3339.52</v>
      </c>
      <c r="W219" s="19">
        <f>O219*Q219</f>
        <v>1600</v>
      </c>
      <c r="X219" s="13">
        <f>VLOOKUP(R219,Taxrate!A:B,2,FALSE)</f>
        <v>0.1</v>
      </c>
      <c r="Y219" s="15">
        <f t="shared" si="36"/>
        <v>333.952</v>
      </c>
      <c r="Z219" s="9">
        <f>VLOOKUP(M219,'Discount Rate'!A:B,2,FALSE)</f>
        <v>0.08</v>
      </c>
      <c r="AA219" s="11">
        <f t="shared" si="37"/>
        <v>267.16160000000002</v>
      </c>
      <c r="AB219" s="15">
        <f t="shared" si="38"/>
        <v>2738.4063999999998</v>
      </c>
      <c r="AC219" s="15">
        <f t="shared" si="39"/>
        <v>1138.4063999999998</v>
      </c>
    </row>
    <row r="220" spans="1:29" x14ac:dyDescent="0.35">
      <c r="A220" t="s">
        <v>530</v>
      </c>
      <c r="B220" t="s">
        <v>531</v>
      </c>
      <c r="C220" t="s">
        <v>88</v>
      </c>
      <c r="D220" t="s">
        <v>41</v>
      </c>
      <c r="E220" s="1">
        <v>46277</v>
      </c>
      <c r="F220" s="24">
        <f t="shared" si="30"/>
        <v>2026</v>
      </c>
      <c r="G220" s="24" t="str">
        <f t="shared" si="31"/>
        <v>September</v>
      </c>
      <c r="H220" s="24" t="str">
        <f t="shared" si="32"/>
        <v>Saturday</v>
      </c>
      <c r="I220" s="22">
        <v>0.81746527777777778</v>
      </c>
      <c r="J220" s="24">
        <f t="shared" si="33"/>
        <v>19</v>
      </c>
      <c r="K220" s="24">
        <f t="shared" si="34"/>
        <v>37</v>
      </c>
      <c r="L220" s="24">
        <f t="shared" si="35"/>
        <v>9</v>
      </c>
      <c r="M220" t="s">
        <v>49</v>
      </c>
      <c r="N220" t="s">
        <v>50</v>
      </c>
      <c r="O220" s="24">
        <v>13</v>
      </c>
      <c r="P220" s="11">
        <v>223.11</v>
      </c>
      <c r="Q220" s="26">
        <f>VLOOKUP('Prepared Sales Dataset'!M220,'Product-cost'!A:B,2,FALSE)</f>
        <v>150</v>
      </c>
      <c r="R220" t="s">
        <v>55</v>
      </c>
      <c r="S220" t="s">
        <v>43</v>
      </c>
      <c r="T220" t="s">
        <v>231</v>
      </c>
      <c r="U220" t="s">
        <v>922</v>
      </c>
      <c r="V220" s="17">
        <f>P220*O220</f>
        <v>2900.4300000000003</v>
      </c>
      <c r="W220" s="19">
        <f>O220*Q220</f>
        <v>1950</v>
      </c>
      <c r="X220" s="13">
        <f>VLOOKUP(R220,Taxrate!A:B,2,FALSE)</f>
        <v>7.0000000000000007E-2</v>
      </c>
      <c r="Y220" s="15">
        <f t="shared" si="36"/>
        <v>203.03010000000003</v>
      </c>
      <c r="Z220" s="9">
        <f>VLOOKUP(M220,'Discount Rate'!A:B,2,FALSE)</f>
        <v>7.0000000000000007E-2</v>
      </c>
      <c r="AA220" s="11">
        <f t="shared" si="37"/>
        <v>203.03010000000003</v>
      </c>
      <c r="AB220" s="15">
        <f t="shared" si="38"/>
        <v>2494.3698000000004</v>
      </c>
      <c r="AC220" s="15">
        <f t="shared" si="39"/>
        <v>544.3698000000004</v>
      </c>
    </row>
    <row r="221" spans="1:29" x14ac:dyDescent="0.35">
      <c r="A221" t="s">
        <v>532</v>
      </c>
      <c r="B221" t="s">
        <v>276</v>
      </c>
      <c r="C221" t="s">
        <v>77</v>
      </c>
      <c r="D221" t="s">
        <v>63</v>
      </c>
      <c r="E221" s="1">
        <v>45839</v>
      </c>
      <c r="F221" s="24">
        <f t="shared" si="30"/>
        <v>2025</v>
      </c>
      <c r="G221" s="24" t="str">
        <f t="shared" si="31"/>
        <v>July</v>
      </c>
      <c r="H221" s="24" t="str">
        <f t="shared" si="32"/>
        <v>Tuesday</v>
      </c>
      <c r="I221" s="22">
        <v>0.84688657407407408</v>
      </c>
      <c r="J221" s="24">
        <f t="shared" si="33"/>
        <v>20</v>
      </c>
      <c r="K221" s="24">
        <f t="shared" si="34"/>
        <v>19</v>
      </c>
      <c r="L221" s="24">
        <f t="shared" si="35"/>
        <v>31</v>
      </c>
      <c r="M221" t="s">
        <v>49</v>
      </c>
      <c r="N221" t="s">
        <v>50</v>
      </c>
      <c r="O221" s="24">
        <v>11</v>
      </c>
      <c r="P221" s="11">
        <v>268.60000000000002</v>
      </c>
      <c r="Q221" s="26">
        <f>VLOOKUP('Prepared Sales Dataset'!M221,'Product-cost'!A:B,2,FALSE)</f>
        <v>150</v>
      </c>
      <c r="R221" t="s">
        <v>35</v>
      </c>
      <c r="S221" t="s">
        <v>241</v>
      </c>
      <c r="T221" t="s">
        <v>249</v>
      </c>
      <c r="U221" t="s">
        <v>921</v>
      </c>
      <c r="V221" s="17">
        <f>P221*O221</f>
        <v>2954.6000000000004</v>
      </c>
      <c r="W221" s="19">
        <f>O221*Q221</f>
        <v>1650</v>
      </c>
      <c r="X221" s="13">
        <f>VLOOKUP(R221,Taxrate!A:B,2,FALSE)</f>
        <v>0.2</v>
      </c>
      <c r="Y221" s="15">
        <f t="shared" si="36"/>
        <v>590.92000000000007</v>
      </c>
      <c r="Z221" s="9">
        <f>VLOOKUP(M221,'Discount Rate'!A:B,2,FALSE)</f>
        <v>7.0000000000000007E-2</v>
      </c>
      <c r="AA221" s="11">
        <f t="shared" si="37"/>
        <v>206.82200000000003</v>
      </c>
      <c r="AB221" s="15">
        <f t="shared" si="38"/>
        <v>2156.8580000000002</v>
      </c>
      <c r="AC221" s="15">
        <f t="shared" si="39"/>
        <v>506.85800000000017</v>
      </c>
    </row>
    <row r="222" spans="1:29" x14ac:dyDescent="0.35">
      <c r="A222" t="s">
        <v>533</v>
      </c>
      <c r="B222" t="s">
        <v>534</v>
      </c>
      <c r="C222" t="s">
        <v>407</v>
      </c>
      <c r="D222" t="s">
        <v>48</v>
      </c>
      <c r="E222" s="1">
        <v>46112</v>
      </c>
      <c r="F222" s="24">
        <f t="shared" si="30"/>
        <v>2026</v>
      </c>
      <c r="G222" s="24" t="str">
        <f t="shared" si="31"/>
        <v>March</v>
      </c>
      <c r="H222" s="24" t="str">
        <f t="shared" si="32"/>
        <v>Tuesday</v>
      </c>
      <c r="I222" s="22">
        <v>0.85917824074074078</v>
      </c>
      <c r="J222" s="24">
        <f t="shared" si="33"/>
        <v>20</v>
      </c>
      <c r="K222" s="24">
        <f t="shared" si="34"/>
        <v>37</v>
      </c>
      <c r="L222" s="24">
        <f t="shared" si="35"/>
        <v>13</v>
      </c>
      <c r="M222" t="s">
        <v>17</v>
      </c>
      <c r="N222" t="s">
        <v>18</v>
      </c>
      <c r="O222" s="24">
        <v>9</v>
      </c>
      <c r="P222" s="11">
        <v>1069.8399999999999</v>
      </c>
      <c r="Q222" s="26">
        <f>VLOOKUP('Prepared Sales Dataset'!M222,'Product-cost'!A:B,2,FALSE)</f>
        <v>600</v>
      </c>
      <c r="R222" t="s">
        <v>35</v>
      </c>
      <c r="S222" t="s">
        <v>94</v>
      </c>
      <c r="T222" t="s">
        <v>166</v>
      </c>
      <c r="U222" t="s">
        <v>921</v>
      </c>
      <c r="V222" s="17">
        <f>P222*O222</f>
        <v>9628.56</v>
      </c>
      <c r="W222" s="19">
        <f>O222*Q222</f>
        <v>5400</v>
      </c>
      <c r="X222" s="13">
        <f>VLOOKUP(R222,Taxrate!A:B,2,FALSE)</f>
        <v>0.2</v>
      </c>
      <c r="Y222" s="15">
        <f t="shared" si="36"/>
        <v>1925.712</v>
      </c>
      <c r="Z222" s="9">
        <f>VLOOKUP(M222,'Discount Rate'!A:B,2,FALSE)</f>
        <v>0.05</v>
      </c>
      <c r="AA222" s="11">
        <f t="shared" si="37"/>
        <v>481.428</v>
      </c>
      <c r="AB222" s="15">
        <f t="shared" si="38"/>
        <v>7221.42</v>
      </c>
      <c r="AC222" s="15">
        <f t="shared" si="39"/>
        <v>1821.42</v>
      </c>
    </row>
    <row r="223" spans="1:29" x14ac:dyDescent="0.35">
      <c r="A223" t="s">
        <v>535</v>
      </c>
      <c r="B223" t="s">
        <v>536</v>
      </c>
      <c r="C223" t="s">
        <v>136</v>
      </c>
      <c r="D223" t="s">
        <v>25</v>
      </c>
      <c r="E223" s="1">
        <v>46284</v>
      </c>
      <c r="F223" s="24">
        <f t="shared" si="30"/>
        <v>2026</v>
      </c>
      <c r="G223" s="24" t="str">
        <f t="shared" si="31"/>
        <v>September</v>
      </c>
      <c r="H223" s="24" t="str">
        <f t="shared" si="32"/>
        <v>Saturday</v>
      </c>
      <c r="I223" s="22">
        <v>0.9108680555555555</v>
      </c>
      <c r="J223" s="24">
        <f t="shared" si="33"/>
        <v>21</v>
      </c>
      <c r="K223" s="24">
        <f t="shared" si="34"/>
        <v>51</v>
      </c>
      <c r="L223" s="24">
        <f t="shared" si="35"/>
        <v>39</v>
      </c>
      <c r="M223" t="s">
        <v>26</v>
      </c>
      <c r="N223" t="s">
        <v>27</v>
      </c>
      <c r="O223" s="24">
        <v>3</v>
      </c>
      <c r="P223" s="11">
        <v>533.74</v>
      </c>
      <c r="Q223" s="26">
        <f>VLOOKUP('Prepared Sales Dataset'!M223,'Product-cost'!A:B,2,FALSE)</f>
        <v>300</v>
      </c>
      <c r="R223" t="s">
        <v>59</v>
      </c>
      <c r="S223" t="s">
        <v>29</v>
      </c>
      <c r="T223" t="s">
        <v>103</v>
      </c>
      <c r="U223" t="s">
        <v>921</v>
      </c>
      <c r="V223" s="17">
        <f>P223*O223</f>
        <v>1601.22</v>
      </c>
      <c r="W223" s="19">
        <f>O223*Q223</f>
        <v>900</v>
      </c>
      <c r="X223" s="13">
        <f>VLOOKUP(R223,Taxrate!A:B,2,FALSE)</f>
        <v>0.12</v>
      </c>
      <c r="Y223" s="15">
        <f t="shared" si="36"/>
        <v>192.1464</v>
      </c>
      <c r="Z223" s="9">
        <f>VLOOKUP(M223,'Discount Rate'!A:B,2,FALSE)</f>
        <v>0.1</v>
      </c>
      <c r="AA223" s="11">
        <f t="shared" si="37"/>
        <v>160.12200000000001</v>
      </c>
      <c r="AB223" s="15">
        <f t="shared" si="38"/>
        <v>1248.9515999999999</v>
      </c>
      <c r="AC223" s="15">
        <f t="shared" si="39"/>
        <v>348.95159999999987</v>
      </c>
    </row>
    <row r="224" spans="1:29" x14ac:dyDescent="0.35">
      <c r="A224" t="s">
        <v>537</v>
      </c>
      <c r="B224" t="s">
        <v>538</v>
      </c>
      <c r="C224" t="s">
        <v>70</v>
      </c>
      <c r="D224" t="s">
        <v>71</v>
      </c>
      <c r="E224" s="1">
        <v>45683</v>
      </c>
      <c r="F224" s="24">
        <f t="shared" si="30"/>
        <v>2025</v>
      </c>
      <c r="G224" s="24" t="str">
        <f t="shared" si="31"/>
        <v>January</v>
      </c>
      <c r="H224" s="24" t="str">
        <f t="shared" si="32"/>
        <v>Sunday</v>
      </c>
      <c r="I224" s="22">
        <v>0.36265046296296294</v>
      </c>
      <c r="J224" s="24">
        <f t="shared" si="33"/>
        <v>8</v>
      </c>
      <c r="K224" s="24">
        <f t="shared" si="34"/>
        <v>42</v>
      </c>
      <c r="L224" s="24">
        <f t="shared" si="35"/>
        <v>13</v>
      </c>
      <c r="M224" t="s">
        <v>49</v>
      </c>
      <c r="N224" t="s">
        <v>50</v>
      </c>
      <c r="O224" s="24">
        <v>6</v>
      </c>
      <c r="P224" s="11">
        <v>276.97000000000003</v>
      </c>
      <c r="Q224" s="26">
        <f>VLOOKUP('Prepared Sales Dataset'!M224,'Product-cost'!A:B,2,FALSE)</f>
        <v>150</v>
      </c>
      <c r="R224" t="s">
        <v>55</v>
      </c>
      <c r="S224" t="s">
        <v>73</v>
      </c>
      <c r="T224" t="s">
        <v>172</v>
      </c>
      <c r="U224" t="s">
        <v>921</v>
      </c>
      <c r="V224" s="17">
        <f>P224*O224</f>
        <v>1661.8200000000002</v>
      </c>
      <c r="W224" s="19">
        <f>O224*Q224</f>
        <v>900</v>
      </c>
      <c r="X224" s="13">
        <f>VLOOKUP(R224,Taxrate!A:B,2,FALSE)</f>
        <v>7.0000000000000007E-2</v>
      </c>
      <c r="Y224" s="15">
        <f t="shared" si="36"/>
        <v>116.32740000000003</v>
      </c>
      <c r="Z224" s="9">
        <f>VLOOKUP(M224,'Discount Rate'!A:B,2,FALSE)</f>
        <v>7.0000000000000007E-2</v>
      </c>
      <c r="AA224" s="11">
        <f t="shared" si="37"/>
        <v>116.32740000000003</v>
      </c>
      <c r="AB224" s="15">
        <f t="shared" si="38"/>
        <v>1429.1652000000001</v>
      </c>
      <c r="AC224" s="15">
        <f t="shared" si="39"/>
        <v>529.16520000000014</v>
      </c>
    </row>
    <row r="225" spans="1:29" x14ac:dyDescent="0.35">
      <c r="A225" t="s">
        <v>539</v>
      </c>
      <c r="B225" t="s">
        <v>540</v>
      </c>
      <c r="C225" t="s">
        <v>67</v>
      </c>
      <c r="D225" t="s">
        <v>16</v>
      </c>
      <c r="E225" s="1">
        <v>45698</v>
      </c>
      <c r="F225" s="24">
        <f t="shared" si="30"/>
        <v>2025</v>
      </c>
      <c r="G225" s="24" t="str">
        <f t="shared" si="31"/>
        <v>February</v>
      </c>
      <c r="H225" s="24" t="str">
        <f t="shared" si="32"/>
        <v>Monday</v>
      </c>
      <c r="I225" s="22">
        <v>0.56783564814814813</v>
      </c>
      <c r="J225" s="24">
        <f t="shared" si="33"/>
        <v>13</v>
      </c>
      <c r="K225" s="24">
        <f t="shared" si="34"/>
        <v>37</v>
      </c>
      <c r="L225" s="24">
        <f t="shared" si="35"/>
        <v>41</v>
      </c>
      <c r="M225" t="s">
        <v>17</v>
      </c>
      <c r="N225" t="s">
        <v>18</v>
      </c>
      <c r="O225" s="24">
        <v>7</v>
      </c>
      <c r="P225" s="11">
        <v>911.45</v>
      </c>
      <c r="Q225" s="26">
        <f>VLOOKUP('Prepared Sales Dataset'!M225,'Product-cost'!A:B,2,FALSE)</f>
        <v>600</v>
      </c>
      <c r="R225" t="s">
        <v>42</v>
      </c>
      <c r="S225" t="s">
        <v>36</v>
      </c>
      <c r="T225" t="s">
        <v>103</v>
      </c>
      <c r="U225" t="s">
        <v>921</v>
      </c>
      <c r="V225" s="17">
        <f>P225*O225</f>
        <v>6380.1500000000005</v>
      </c>
      <c r="W225" s="19">
        <f>O225*Q225</f>
        <v>4200</v>
      </c>
      <c r="X225" s="13">
        <f>VLOOKUP(R225,Taxrate!A:B,2,FALSE)</f>
        <v>0.15</v>
      </c>
      <c r="Y225" s="15">
        <f t="shared" si="36"/>
        <v>957.02250000000004</v>
      </c>
      <c r="Z225" s="9">
        <f>VLOOKUP(M225,'Discount Rate'!A:B,2,FALSE)</f>
        <v>0.05</v>
      </c>
      <c r="AA225" s="11">
        <f t="shared" si="37"/>
        <v>319.00750000000005</v>
      </c>
      <c r="AB225" s="15">
        <f t="shared" si="38"/>
        <v>5104.1200000000008</v>
      </c>
      <c r="AC225" s="15">
        <f t="shared" si="39"/>
        <v>904.1200000000008</v>
      </c>
    </row>
    <row r="226" spans="1:29" x14ac:dyDescent="0.35">
      <c r="A226" t="s">
        <v>541</v>
      </c>
      <c r="B226" t="s">
        <v>542</v>
      </c>
      <c r="C226" t="s">
        <v>62</v>
      </c>
      <c r="D226" t="s">
        <v>63</v>
      </c>
      <c r="E226" s="1">
        <v>45084</v>
      </c>
      <c r="F226" s="24">
        <f t="shared" si="30"/>
        <v>2023</v>
      </c>
      <c r="G226" s="24" t="str">
        <f t="shared" si="31"/>
        <v>June</v>
      </c>
      <c r="H226" s="24" t="str">
        <f t="shared" si="32"/>
        <v>Wednesday</v>
      </c>
      <c r="I226" s="22">
        <v>0.46471064814814816</v>
      </c>
      <c r="J226" s="24">
        <f t="shared" si="33"/>
        <v>11</v>
      </c>
      <c r="K226" s="24">
        <f t="shared" si="34"/>
        <v>9</v>
      </c>
      <c r="L226" s="24">
        <f t="shared" si="35"/>
        <v>11</v>
      </c>
      <c r="M226" t="s">
        <v>26</v>
      </c>
      <c r="N226" t="s">
        <v>27</v>
      </c>
      <c r="O226" s="24">
        <v>12</v>
      </c>
      <c r="P226" s="11">
        <v>678.33</v>
      </c>
      <c r="Q226" s="26">
        <f>VLOOKUP('Prepared Sales Dataset'!M226,'Product-cost'!A:B,2,FALSE)</f>
        <v>300</v>
      </c>
      <c r="R226" t="s">
        <v>42</v>
      </c>
      <c r="S226" t="s">
        <v>241</v>
      </c>
      <c r="T226" t="s">
        <v>103</v>
      </c>
      <c r="U226" t="s">
        <v>921</v>
      </c>
      <c r="V226" s="17">
        <f>P226*O226</f>
        <v>8139.9600000000009</v>
      </c>
      <c r="W226" s="19">
        <f>O226*Q226</f>
        <v>3600</v>
      </c>
      <c r="X226" s="13">
        <f>VLOOKUP(R226,Taxrate!A:B,2,FALSE)</f>
        <v>0.15</v>
      </c>
      <c r="Y226" s="15">
        <f t="shared" si="36"/>
        <v>1220.9940000000001</v>
      </c>
      <c r="Z226" s="9">
        <f>VLOOKUP(M226,'Discount Rate'!A:B,2,FALSE)</f>
        <v>0.1</v>
      </c>
      <c r="AA226" s="11">
        <f t="shared" si="37"/>
        <v>813.99600000000009</v>
      </c>
      <c r="AB226" s="15">
        <f t="shared" si="38"/>
        <v>6104.9700000000012</v>
      </c>
      <c r="AC226" s="15">
        <f t="shared" si="39"/>
        <v>2504.9700000000012</v>
      </c>
    </row>
    <row r="227" spans="1:29" x14ac:dyDescent="0.35">
      <c r="A227" t="s">
        <v>543</v>
      </c>
      <c r="B227" t="s">
        <v>544</v>
      </c>
      <c r="C227" t="s">
        <v>407</v>
      </c>
      <c r="D227" t="s">
        <v>48</v>
      </c>
      <c r="E227" s="1">
        <v>45015</v>
      </c>
      <c r="F227" s="24">
        <f t="shared" si="30"/>
        <v>2023</v>
      </c>
      <c r="G227" s="24" t="str">
        <f t="shared" si="31"/>
        <v>March</v>
      </c>
      <c r="H227" s="24" t="str">
        <f t="shared" si="32"/>
        <v>Thursday</v>
      </c>
      <c r="I227" s="22">
        <v>0.73414351851851856</v>
      </c>
      <c r="J227" s="24">
        <f t="shared" si="33"/>
        <v>17</v>
      </c>
      <c r="K227" s="24">
        <f t="shared" si="34"/>
        <v>37</v>
      </c>
      <c r="L227" s="24">
        <f t="shared" si="35"/>
        <v>10</v>
      </c>
      <c r="M227" t="s">
        <v>26</v>
      </c>
      <c r="N227" t="s">
        <v>27</v>
      </c>
      <c r="O227" s="24">
        <v>1</v>
      </c>
      <c r="P227" s="11">
        <v>524.05999999999995</v>
      </c>
      <c r="Q227" s="26">
        <f>VLOOKUP('Prepared Sales Dataset'!M227,'Product-cost'!A:B,2,FALSE)</f>
        <v>300</v>
      </c>
      <c r="R227" t="s">
        <v>35</v>
      </c>
      <c r="S227" t="s">
        <v>85</v>
      </c>
      <c r="T227" t="s">
        <v>21</v>
      </c>
      <c r="U227" t="s">
        <v>921</v>
      </c>
      <c r="V227" s="17">
        <f>P227*O227</f>
        <v>524.05999999999995</v>
      </c>
      <c r="W227" s="19">
        <f>O227*Q227</f>
        <v>300</v>
      </c>
      <c r="X227" s="13">
        <f>VLOOKUP(R227,Taxrate!A:B,2,FALSE)</f>
        <v>0.2</v>
      </c>
      <c r="Y227" s="15">
        <f t="shared" si="36"/>
        <v>104.812</v>
      </c>
      <c r="Z227" s="9">
        <f>VLOOKUP(M227,'Discount Rate'!A:B,2,FALSE)</f>
        <v>0.1</v>
      </c>
      <c r="AA227" s="11">
        <f t="shared" si="37"/>
        <v>52.405999999999999</v>
      </c>
      <c r="AB227" s="15">
        <f t="shared" si="38"/>
        <v>366.84199999999998</v>
      </c>
      <c r="AC227" s="15">
        <f t="shared" si="39"/>
        <v>66.841999999999985</v>
      </c>
    </row>
    <row r="228" spans="1:29" x14ac:dyDescent="0.35">
      <c r="A228" t="s">
        <v>545</v>
      </c>
      <c r="B228" t="s">
        <v>546</v>
      </c>
      <c r="C228" t="s">
        <v>195</v>
      </c>
      <c r="D228" t="s">
        <v>63</v>
      </c>
      <c r="E228" s="1">
        <v>46169</v>
      </c>
      <c r="F228" s="24">
        <f t="shared" si="30"/>
        <v>2026</v>
      </c>
      <c r="G228" s="24" t="str">
        <f t="shared" si="31"/>
        <v>May</v>
      </c>
      <c r="H228" s="24" t="str">
        <f t="shared" si="32"/>
        <v>Wednesday</v>
      </c>
      <c r="I228" s="22">
        <v>0.89594907407407409</v>
      </c>
      <c r="J228" s="24">
        <f t="shared" si="33"/>
        <v>21</v>
      </c>
      <c r="K228" s="24">
        <f t="shared" si="34"/>
        <v>30</v>
      </c>
      <c r="L228" s="24">
        <f t="shared" si="35"/>
        <v>10</v>
      </c>
      <c r="M228" t="s">
        <v>26</v>
      </c>
      <c r="N228" t="s">
        <v>27</v>
      </c>
      <c r="O228" s="24">
        <v>10</v>
      </c>
      <c r="P228" s="11">
        <v>654.79</v>
      </c>
      <c r="Q228" s="26">
        <f>VLOOKUP('Prepared Sales Dataset'!M228,'Product-cost'!A:B,2,FALSE)</f>
        <v>300</v>
      </c>
      <c r="R228" t="s">
        <v>35</v>
      </c>
      <c r="S228" t="s">
        <v>241</v>
      </c>
      <c r="T228" t="s">
        <v>133</v>
      </c>
      <c r="U228" t="s">
        <v>921</v>
      </c>
      <c r="V228" s="17">
        <f>P228*O228</f>
        <v>6547.9</v>
      </c>
      <c r="W228" s="19">
        <f>O228*Q228</f>
        <v>3000</v>
      </c>
      <c r="X228" s="13">
        <f>VLOOKUP(R228,Taxrate!A:B,2,FALSE)</f>
        <v>0.2</v>
      </c>
      <c r="Y228" s="15">
        <f t="shared" si="36"/>
        <v>1309.58</v>
      </c>
      <c r="Z228" s="9">
        <f>VLOOKUP(M228,'Discount Rate'!A:B,2,FALSE)</f>
        <v>0.1</v>
      </c>
      <c r="AA228" s="11">
        <f t="shared" si="37"/>
        <v>654.79</v>
      </c>
      <c r="AB228" s="15">
        <f t="shared" si="38"/>
        <v>4583.53</v>
      </c>
      <c r="AC228" s="15">
        <f t="shared" si="39"/>
        <v>1583.5299999999997</v>
      </c>
    </row>
    <row r="229" spans="1:29" x14ac:dyDescent="0.35">
      <c r="A229" t="s">
        <v>547</v>
      </c>
      <c r="B229" t="s">
        <v>548</v>
      </c>
      <c r="C229" t="s">
        <v>169</v>
      </c>
      <c r="D229" t="s">
        <v>170</v>
      </c>
      <c r="E229" s="1">
        <v>45149</v>
      </c>
      <c r="F229" s="24">
        <f t="shared" si="30"/>
        <v>2023</v>
      </c>
      <c r="G229" s="24" t="str">
        <f t="shared" si="31"/>
        <v>August</v>
      </c>
      <c r="H229" s="24" t="str">
        <f t="shared" si="32"/>
        <v>Friday</v>
      </c>
      <c r="I229" s="22">
        <v>0.48188657407407409</v>
      </c>
      <c r="J229" s="24">
        <f t="shared" si="33"/>
        <v>11</v>
      </c>
      <c r="K229" s="24">
        <f t="shared" si="34"/>
        <v>33</v>
      </c>
      <c r="L229" s="24">
        <f t="shared" si="35"/>
        <v>55</v>
      </c>
      <c r="M229" t="s">
        <v>49</v>
      </c>
      <c r="N229" t="s">
        <v>50</v>
      </c>
      <c r="O229" s="24">
        <v>14</v>
      </c>
      <c r="P229" s="11">
        <v>186.59</v>
      </c>
      <c r="Q229" s="26">
        <f>VLOOKUP('Prepared Sales Dataset'!M229,'Product-cost'!A:B,2,FALSE)</f>
        <v>150</v>
      </c>
      <c r="R229" t="s">
        <v>42</v>
      </c>
      <c r="S229" t="s">
        <v>272</v>
      </c>
      <c r="T229" t="s">
        <v>172</v>
      </c>
      <c r="U229" t="s">
        <v>921</v>
      </c>
      <c r="V229" s="17">
        <f>P229*O229</f>
        <v>2612.2600000000002</v>
      </c>
      <c r="W229" s="19">
        <f>O229*Q229</f>
        <v>2100</v>
      </c>
      <c r="X229" s="13">
        <f>VLOOKUP(R229,Taxrate!A:B,2,FALSE)</f>
        <v>0.15</v>
      </c>
      <c r="Y229" s="15">
        <f t="shared" si="36"/>
        <v>391.839</v>
      </c>
      <c r="Z229" s="9">
        <f>VLOOKUP(M229,'Discount Rate'!A:B,2,FALSE)</f>
        <v>7.0000000000000007E-2</v>
      </c>
      <c r="AA229" s="11">
        <f t="shared" si="37"/>
        <v>182.85820000000004</v>
      </c>
      <c r="AB229" s="15">
        <f t="shared" si="38"/>
        <v>2037.5628000000002</v>
      </c>
      <c r="AC229" s="15">
        <f t="shared" si="39"/>
        <v>-62.437199999999848</v>
      </c>
    </row>
    <row r="230" spans="1:29" x14ac:dyDescent="0.35">
      <c r="A230" t="s">
        <v>549</v>
      </c>
      <c r="B230" t="s">
        <v>550</v>
      </c>
      <c r="C230" t="s">
        <v>67</v>
      </c>
      <c r="D230" t="s">
        <v>16</v>
      </c>
      <c r="E230" s="1">
        <v>46316</v>
      </c>
      <c r="F230" s="24">
        <f t="shared" si="30"/>
        <v>2026</v>
      </c>
      <c r="G230" s="24" t="str">
        <f t="shared" si="31"/>
        <v>October</v>
      </c>
      <c r="H230" s="24" t="str">
        <f t="shared" si="32"/>
        <v>Wednesday</v>
      </c>
      <c r="I230" s="22">
        <v>0.6849884259259259</v>
      </c>
      <c r="J230" s="24">
        <f t="shared" si="33"/>
        <v>16</v>
      </c>
      <c r="K230" s="24">
        <f t="shared" si="34"/>
        <v>26</v>
      </c>
      <c r="L230" s="24">
        <f t="shared" si="35"/>
        <v>23</v>
      </c>
      <c r="M230" t="s">
        <v>17</v>
      </c>
      <c r="N230" t="s">
        <v>18</v>
      </c>
      <c r="O230" s="24">
        <v>7</v>
      </c>
      <c r="P230" s="11">
        <v>1201.1500000000001</v>
      </c>
      <c r="Q230" s="26">
        <f>VLOOKUP('Prepared Sales Dataset'!M230,'Product-cost'!A:B,2,FALSE)</f>
        <v>600</v>
      </c>
      <c r="R230" t="s">
        <v>42</v>
      </c>
      <c r="S230" t="s">
        <v>36</v>
      </c>
      <c r="T230" t="s">
        <v>37</v>
      </c>
      <c r="U230" t="s">
        <v>921</v>
      </c>
      <c r="V230" s="17">
        <f>P230*O230</f>
        <v>8408.0500000000011</v>
      </c>
      <c r="W230" s="19">
        <f>O230*Q230</f>
        <v>4200</v>
      </c>
      <c r="X230" s="13">
        <f>VLOOKUP(R230,Taxrate!A:B,2,FALSE)</f>
        <v>0.15</v>
      </c>
      <c r="Y230" s="15">
        <f t="shared" si="36"/>
        <v>1261.2075000000002</v>
      </c>
      <c r="Z230" s="9">
        <f>VLOOKUP(M230,'Discount Rate'!A:B,2,FALSE)</f>
        <v>0.05</v>
      </c>
      <c r="AA230" s="11">
        <f t="shared" si="37"/>
        <v>420.40250000000009</v>
      </c>
      <c r="AB230" s="15">
        <f t="shared" si="38"/>
        <v>6726.4400000000005</v>
      </c>
      <c r="AC230" s="15">
        <f t="shared" si="39"/>
        <v>2526.4400000000005</v>
      </c>
    </row>
    <row r="231" spans="1:29" x14ac:dyDescent="0.35">
      <c r="A231" t="s">
        <v>551</v>
      </c>
      <c r="B231" t="s">
        <v>200</v>
      </c>
      <c r="C231" t="s">
        <v>70</v>
      </c>
      <c r="D231" t="s">
        <v>71</v>
      </c>
      <c r="E231" s="1">
        <v>46152</v>
      </c>
      <c r="F231" s="24">
        <f t="shared" si="30"/>
        <v>2026</v>
      </c>
      <c r="G231" s="24" t="str">
        <f t="shared" si="31"/>
        <v>May</v>
      </c>
      <c r="H231" s="24" t="str">
        <f t="shared" si="32"/>
        <v>Sunday</v>
      </c>
      <c r="I231" s="22">
        <v>0.5083333333333333</v>
      </c>
      <c r="J231" s="24">
        <f t="shared" si="33"/>
        <v>12</v>
      </c>
      <c r="K231" s="24">
        <f t="shared" si="34"/>
        <v>12</v>
      </c>
      <c r="L231" s="24">
        <f t="shared" si="35"/>
        <v>0</v>
      </c>
      <c r="M231" t="s">
        <v>17</v>
      </c>
      <c r="N231" t="s">
        <v>18</v>
      </c>
      <c r="O231" s="24">
        <v>2</v>
      </c>
      <c r="P231" s="11">
        <v>987.51</v>
      </c>
      <c r="Q231" s="26">
        <f>VLOOKUP('Prepared Sales Dataset'!M231,'Product-cost'!A:B,2,FALSE)</f>
        <v>600</v>
      </c>
      <c r="R231" t="s">
        <v>35</v>
      </c>
      <c r="S231" t="s">
        <v>73</v>
      </c>
      <c r="T231" t="s">
        <v>109</v>
      </c>
      <c r="U231" t="s">
        <v>923</v>
      </c>
      <c r="V231" s="17">
        <f>P231*O231</f>
        <v>1975.02</v>
      </c>
      <c r="W231" s="19">
        <f>O231*Q231</f>
        <v>1200</v>
      </c>
      <c r="X231" s="13">
        <f>VLOOKUP(R231,Taxrate!A:B,2,FALSE)</f>
        <v>0.2</v>
      </c>
      <c r="Y231" s="15">
        <f t="shared" si="36"/>
        <v>395.00400000000002</v>
      </c>
      <c r="Z231" s="9">
        <f>VLOOKUP(M231,'Discount Rate'!A:B,2,FALSE)</f>
        <v>0.05</v>
      </c>
      <c r="AA231" s="11">
        <f t="shared" si="37"/>
        <v>98.751000000000005</v>
      </c>
      <c r="AB231" s="15">
        <f t="shared" si="38"/>
        <v>1481.2649999999999</v>
      </c>
      <c r="AC231" s="15">
        <f t="shared" si="39"/>
        <v>281.26499999999987</v>
      </c>
    </row>
    <row r="232" spans="1:29" x14ac:dyDescent="0.35">
      <c r="A232" t="s">
        <v>552</v>
      </c>
      <c r="B232" t="s">
        <v>553</v>
      </c>
      <c r="C232" t="s">
        <v>106</v>
      </c>
      <c r="D232" t="s">
        <v>107</v>
      </c>
      <c r="E232" s="1">
        <v>46180</v>
      </c>
      <c r="F232" s="24">
        <f t="shared" si="30"/>
        <v>2026</v>
      </c>
      <c r="G232" s="24" t="str">
        <f t="shared" si="31"/>
        <v>June</v>
      </c>
      <c r="H232" s="24" t="str">
        <f t="shared" si="32"/>
        <v>Sunday</v>
      </c>
      <c r="I232" s="22">
        <v>0.76791666666666669</v>
      </c>
      <c r="J232" s="24">
        <f t="shared" si="33"/>
        <v>18</v>
      </c>
      <c r="K232" s="24">
        <f t="shared" si="34"/>
        <v>25</v>
      </c>
      <c r="L232" s="24">
        <f t="shared" si="35"/>
        <v>48</v>
      </c>
      <c r="M232" t="s">
        <v>26</v>
      </c>
      <c r="N232" t="s">
        <v>27</v>
      </c>
      <c r="O232" s="24">
        <v>13</v>
      </c>
      <c r="P232" s="11">
        <v>533.62</v>
      </c>
      <c r="Q232" s="26">
        <f>VLOOKUP('Prepared Sales Dataset'!M232,'Product-cost'!A:B,2,FALSE)</f>
        <v>300</v>
      </c>
      <c r="R232" t="s">
        <v>59</v>
      </c>
      <c r="S232" t="s">
        <v>108</v>
      </c>
      <c r="T232" t="s">
        <v>30</v>
      </c>
      <c r="U232" t="s">
        <v>921</v>
      </c>
      <c r="V232" s="17">
        <f>P232*O232</f>
        <v>6937.06</v>
      </c>
      <c r="W232" s="19">
        <f>O232*Q232</f>
        <v>3900</v>
      </c>
      <c r="X232" s="13">
        <f>VLOOKUP(R232,Taxrate!A:B,2,FALSE)</f>
        <v>0.12</v>
      </c>
      <c r="Y232" s="15">
        <f t="shared" si="36"/>
        <v>832.44720000000007</v>
      </c>
      <c r="Z232" s="9">
        <f>VLOOKUP(M232,'Discount Rate'!A:B,2,FALSE)</f>
        <v>0.1</v>
      </c>
      <c r="AA232" s="11">
        <f t="shared" si="37"/>
        <v>693.70600000000013</v>
      </c>
      <c r="AB232" s="15">
        <f t="shared" si="38"/>
        <v>5410.9068000000007</v>
      </c>
      <c r="AC232" s="15">
        <f t="shared" si="39"/>
        <v>1510.9068000000007</v>
      </c>
    </row>
    <row r="233" spans="1:29" x14ac:dyDescent="0.35">
      <c r="A233" t="s">
        <v>554</v>
      </c>
      <c r="B233" t="s">
        <v>555</v>
      </c>
      <c r="C233" t="s">
        <v>15</v>
      </c>
      <c r="D233" t="s">
        <v>16</v>
      </c>
      <c r="E233" s="1">
        <v>45841</v>
      </c>
      <c r="F233" s="24">
        <f t="shared" si="30"/>
        <v>2025</v>
      </c>
      <c r="G233" s="24" t="str">
        <f t="shared" si="31"/>
        <v>July</v>
      </c>
      <c r="H233" s="24" t="str">
        <f t="shared" si="32"/>
        <v>Thursday</v>
      </c>
      <c r="I233" s="22">
        <v>0.38439814814814816</v>
      </c>
      <c r="J233" s="24">
        <f t="shared" si="33"/>
        <v>9</v>
      </c>
      <c r="K233" s="24">
        <f t="shared" si="34"/>
        <v>13</v>
      </c>
      <c r="L233" s="24">
        <f t="shared" si="35"/>
        <v>32</v>
      </c>
      <c r="M233" t="s">
        <v>78</v>
      </c>
      <c r="N233" t="s">
        <v>79</v>
      </c>
      <c r="O233" s="24">
        <v>13</v>
      </c>
      <c r="P233" s="11">
        <v>172.28</v>
      </c>
      <c r="Q233" s="26">
        <f>VLOOKUP('Prepared Sales Dataset'!M233,'Product-cost'!A:B,2,FALSE)</f>
        <v>50</v>
      </c>
      <c r="R233" t="s">
        <v>55</v>
      </c>
      <c r="S233" t="s">
        <v>20</v>
      </c>
      <c r="T233" t="s">
        <v>249</v>
      </c>
      <c r="U233" t="s">
        <v>921</v>
      </c>
      <c r="V233" s="17">
        <f>P233*O233</f>
        <v>2239.64</v>
      </c>
      <c r="W233" s="19">
        <f>O233*Q233</f>
        <v>650</v>
      </c>
      <c r="X233" s="13">
        <f>VLOOKUP(R233,Taxrate!A:B,2,FALSE)</f>
        <v>7.0000000000000007E-2</v>
      </c>
      <c r="Y233" s="15">
        <f t="shared" si="36"/>
        <v>156.7748</v>
      </c>
      <c r="Z233" s="9">
        <f>VLOOKUP(M233,'Discount Rate'!A:B,2,FALSE)</f>
        <v>0.03</v>
      </c>
      <c r="AA233" s="11">
        <f t="shared" si="37"/>
        <v>67.1892</v>
      </c>
      <c r="AB233" s="15">
        <f t="shared" si="38"/>
        <v>2015.6759999999999</v>
      </c>
      <c r="AC233" s="15">
        <f t="shared" si="39"/>
        <v>1365.6759999999999</v>
      </c>
    </row>
    <row r="234" spans="1:29" x14ac:dyDescent="0.35">
      <c r="A234" t="s">
        <v>556</v>
      </c>
      <c r="B234" t="s">
        <v>557</v>
      </c>
      <c r="C234" t="s">
        <v>70</v>
      </c>
      <c r="D234" t="s">
        <v>71</v>
      </c>
      <c r="E234" s="1">
        <v>45381</v>
      </c>
      <c r="F234" s="24">
        <f t="shared" si="30"/>
        <v>2024</v>
      </c>
      <c r="G234" s="24" t="str">
        <f t="shared" si="31"/>
        <v>March</v>
      </c>
      <c r="H234" s="24" t="str">
        <f t="shared" si="32"/>
        <v>Saturday</v>
      </c>
      <c r="I234" s="22">
        <v>0.40141203703703704</v>
      </c>
      <c r="J234" s="24">
        <f t="shared" si="33"/>
        <v>9</v>
      </c>
      <c r="K234" s="24">
        <f t="shared" si="34"/>
        <v>38</v>
      </c>
      <c r="L234" s="24">
        <f t="shared" si="35"/>
        <v>2</v>
      </c>
      <c r="M234" t="s">
        <v>78</v>
      </c>
      <c r="N234" t="s">
        <v>79</v>
      </c>
      <c r="O234" s="24">
        <v>7</v>
      </c>
      <c r="P234" s="11">
        <v>159.08000000000001</v>
      </c>
      <c r="Q234" s="26">
        <f>VLOOKUP('Prepared Sales Dataset'!M234,'Product-cost'!A:B,2,FALSE)</f>
        <v>50</v>
      </c>
      <c r="R234" t="s">
        <v>59</v>
      </c>
      <c r="S234" t="s">
        <v>73</v>
      </c>
      <c r="T234" t="s">
        <v>103</v>
      </c>
      <c r="U234" t="s">
        <v>921</v>
      </c>
      <c r="V234" s="17">
        <f>P234*O234</f>
        <v>1113.5600000000002</v>
      </c>
      <c r="W234" s="19">
        <f>O234*Q234</f>
        <v>350</v>
      </c>
      <c r="X234" s="13">
        <f>VLOOKUP(R234,Taxrate!A:B,2,FALSE)</f>
        <v>0.12</v>
      </c>
      <c r="Y234" s="15">
        <f t="shared" si="36"/>
        <v>133.62720000000002</v>
      </c>
      <c r="Z234" s="9">
        <f>VLOOKUP(M234,'Discount Rate'!A:B,2,FALSE)</f>
        <v>0.03</v>
      </c>
      <c r="AA234" s="11">
        <f t="shared" si="37"/>
        <v>33.406800000000004</v>
      </c>
      <c r="AB234" s="15">
        <f t="shared" si="38"/>
        <v>946.52600000000018</v>
      </c>
      <c r="AC234" s="15">
        <f t="shared" si="39"/>
        <v>596.52600000000018</v>
      </c>
    </row>
    <row r="235" spans="1:29" x14ac:dyDescent="0.35">
      <c r="A235" t="s">
        <v>558</v>
      </c>
      <c r="B235" t="s">
        <v>559</v>
      </c>
      <c r="C235" t="s">
        <v>136</v>
      </c>
      <c r="D235" t="s">
        <v>25</v>
      </c>
      <c r="E235" s="1">
        <v>45325</v>
      </c>
      <c r="F235" s="24">
        <f t="shared" si="30"/>
        <v>2024</v>
      </c>
      <c r="G235" s="24" t="str">
        <f t="shared" si="31"/>
        <v>February</v>
      </c>
      <c r="H235" s="24" t="str">
        <f t="shared" si="32"/>
        <v>Saturday</v>
      </c>
      <c r="I235" s="22">
        <v>0.86009259259259263</v>
      </c>
      <c r="J235" s="24">
        <f t="shared" si="33"/>
        <v>20</v>
      </c>
      <c r="K235" s="24">
        <f t="shared" si="34"/>
        <v>38</v>
      </c>
      <c r="L235" s="24">
        <f t="shared" si="35"/>
        <v>32</v>
      </c>
      <c r="M235" t="s">
        <v>49</v>
      </c>
      <c r="N235" t="s">
        <v>50</v>
      </c>
      <c r="O235" s="24">
        <v>10</v>
      </c>
      <c r="P235" s="11">
        <v>179.97</v>
      </c>
      <c r="Q235" s="26">
        <f>VLOOKUP('Prepared Sales Dataset'!M235,'Product-cost'!A:B,2,FALSE)</f>
        <v>150</v>
      </c>
      <c r="R235" t="s">
        <v>35</v>
      </c>
      <c r="S235" t="s">
        <v>56</v>
      </c>
      <c r="U235" t="s">
        <v>923</v>
      </c>
      <c r="V235" s="17">
        <f>P235*O235</f>
        <v>1799.7</v>
      </c>
      <c r="W235" s="19">
        <f>O235*Q235</f>
        <v>1500</v>
      </c>
      <c r="X235" s="13">
        <f>VLOOKUP(R235,Taxrate!A:B,2,FALSE)</f>
        <v>0.2</v>
      </c>
      <c r="Y235" s="15">
        <f t="shared" si="36"/>
        <v>359.94000000000005</v>
      </c>
      <c r="Z235" s="9">
        <f>VLOOKUP(M235,'Discount Rate'!A:B,2,FALSE)</f>
        <v>7.0000000000000007E-2</v>
      </c>
      <c r="AA235" s="11">
        <f t="shared" si="37"/>
        <v>125.97900000000001</v>
      </c>
      <c r="AB235" s="15">
        <f t="shared" si="38"/>
        <v>1313.7809999999999</v>
      </c>
      <c r="AC235" s="15">
        <f t="shared" si="39"/>
        <v>-186.21900000000005</v>
      </c>
    </row>
    <row r="236" spans="1:29" x14ac:dyDescent="0.35">
      <c r="A236" t="s">
        <v>560</v>
      </c>
      <c r="B236" t="s">
        <v>561</v>
      </c>
      <c r="C236" t="s">
        <v>195</v>
      </c>
      <c r="D236" t="s">
        <v>63</v>
      </c>
      <c r="E236" s="1">
        <v>46368</v>
      </c>
      <c r="F236" s="24">
        <f t="shared" si="30"/>
        <v>2026</v>
      </c>
      <c r="G236" s="24" t="str">
        <f t="shared" si="31"/>
        <v>December</v>
      </c>
      <c r="H236" s="24" t="str">
        <f t="shared" si="32"/>
        <v>Saturday</v>
      </c>
      <c r="I236" s="22">
        <v>0.39951388888888889</v>
      </c>
      <c r="J236" s="24">
        <f t="shared" si="33"/>
        <v>9</v>
      </c>
      <c r="K236" s="24">
        <f t="shared" si="34"/>
        <v>35</v>
      </c>
      <c r="L236" s="24">
        <f t="shared" si="35"/>
        <v>18</v>
      </c>
      <c r="M236" t="s">
        <v>49</v>
      </c>
      <c r="N236" t="s">
        <v>50</v>
      </c>
      <c r="O236" s="24">
        <v>6</v>
      </c>
      <c r="P236" s="11">
        <v>265.70999999999998</v>
      </c>
      <c r="Q236" s="26">
        <f>VLOOKUP('Prepared Sales Dataset'!M236,'Product-cost'!A:B,2,FALSE)</f>
        <v>150</v>
      </c>
      <c r="R236" t="s">
        <v>35</v>
      </c>
      <c r="S236" t="s">
        <v>64</v>
      </c>
      <c r="T236" t="s">
        <v>21</v>
      </c>
      <c r="U236" t="s">
        <v>921</v>
      </c>
      <c r="V236" s="17">
        <f>P236*O236</f>
        <v>1594.2599999999998</v>
      </c>
      <c r="W236" s="19">
        <f>O236*Q236</f>
        <v>900</v>
      </c>
      <c r="X236" s="13">
        <f>VLOOKUP(R236,Taxrate!A:B,2,FALSE)</f>
        <v>0.2</v>
      </c>
      <c r="Y236" s="15">
        <f t="shared" si="36"/>
        <v>318.85199999999998</v>
      </c>
      <c r="Z236" s="9">
        <f>VLOOKUP(M236,'Discount Rate'!A:B,2,FALSE)</f>
        <v>7.0000000000000007E-2</v>
      </c>
      <c r="AA236" s="11">
        <f t="shared" si="37"/>
        <v>111.59819999999999</v>
      </c>
      <c r="AB236" s="15">
        <f t="shared" si="38"/>
        <v>1163.8097999999998</v>
      </c>
      <c r="AC236" s="15">
        <f t="shared" si="39"/>
        <v>263.80979999999977</v>
      </c>
    </row>
    <row r="237" spans="1:29" x14ac:dyDescent="0.35">
      <c r="A237" t="s">
        <v>562</v>
      </c>
      <c r="B237" t="s">
        <v>563</v>
      </c>
      <c r="C237" t="s">
        <v>136</v>
      </c>
      <c r="D237" t="s">
        <v>25</v>
      </c>
      <c r="E237" s="1">
        <v>45623</v>
      </c>
      <c r="F237" s="24">
        <f t="shared" si="30"/>
        <v>2024</v>
      </c>
      <c r="G237" s="24" t="str">
        <f t="shared" si="31"/>
        <v>November</v>
      </c>
      <c r="H237" s="24" t="str">
        <f t="shared" si="32"/>
        <v>Wednesday</v>
      </c>
      <c r="I237" s="22">
        <v>0.85574074074074069</v>
      </c>
      <c r="J237" s="24">
        <f t="shared" si="33"/>
        <v>20</v>
      </c>
      <c r="K237" s="24">
        <f t="shared" si="34"/>
        <v>32</v>
      </c>
      <c r="L237" s="24">
        <f t="shared" si="35"/>
        <v>16</v>
      </c>
      <c r="M237" t="s">
        <v>49</v>
      </c>
      <c r="N237" t="s">
        <v>50</v>
      </c>
      <c r="O237" s="24">
        <v>10</v>
      </c>
      <c r="P237" s="11">
        <v>224.7</v>
      </c>
      <c r="Q237" s="26">
        <f>VLOOKUP('Prepared Sales Dataset'!M237,'Product-cost'!A:B,2,FALSE)</f>
        <v>150</v>
      </c>
      <c r="R237" t="s">
        <v>42</v>
      </c>
      <c r="S237" t="s">
        <v>56</v>
      </c>
      <c r="T237" t="s">
        <v>95</v>
      </c>
      <c r="U237" t="s">
        <v>921</v>
      </c>
      <c r="V237" s="17">
        <f>P237*O237</f>
        <v>2247</v>
      </c>
      <c r="W237" s="19">
        <f>O237*Q237</f>
        <v>1500</v>
      </c>
      <c r="X237" s="13">
        <f>VLOOKUP(R237,Taxrate!A:B,2,FALSE)</f>
        <v>0.15</v>
      </c>
      <c r="Y237" s="15">
        <f t="shared" si="36"/>
        <v>337.05</v>
      </c>
      <c r="Z237" s="9">
        <f>VLOOKUP(M237,'Discount Rate'!A:B,2,FALSE)</f>
        <v>7.0000000000000007E-2</v>
      </c>
      <c r="AA237" s="11">
        <f t="shared" si="37"/>
        <v>157.29000000000002</v>
      </c>
      <c r="AB237" s="15">
        <f t="shared" si="38"/>
        <v>1752.6599999999999</v>
      </c>
      <c r="AC237" s="15">
        <f t="shared" si="39"/>
        <v>252.65999999999985</v>
      </c>
    </row>
    <row r="238" spans="1:29" x14ac:dyDescent="0.35">
      <c r="A238" t="s">
        <v>564</v>
      </c>
      <c r="B238" t="s">
        <v>565</v>
      </c>
      <c r="C238" t="s">
        <v>15</v>
      </c>
      <c r="D238" t="s">
        <v>16</v>
      </c>
      <c r="E238" s="1">
        <v>45065</v>
      </c>
      <c r="F238" s="24">
        <f t="shared" si="30"/>
        <v>2023</v>
      </c>
      <c r="G238" s="24" t="str">
        <f t="shared" si="31"/>
        <v>May</v>
      </c>
      <c r="H238" s="24" t="str">
        <f t="shared" si="32"/>
        <v>Friday</v>
      </c>
      <c r="I238" s="22">
        <v>0.78488425925925931</v>
      </c>
      <c r="J238" s="24">
        <f t="shared" si="33"/>
        <v>18</v>
      </c>
      <c r="K238" s="24">
        <f t="shared" si="34"/>
        <v>50</v>
      </c>
      <c r="L238" s="24">
        <f t="shared" si="35"/>
        <v>14</v>
      </c>
      <c r="M238" t="s">
        <v>26</v>
      </c>
      <c r="N238" t="s">
        <v>27</v>
      </c>
      <c r="O238" s="24">
        <v>7</v>
      </c>
      <c r="P238" s="11">
        <v>634.95000000000005</v>
      </c>
      <c r="Q238" s="26">
        <f>VLOOKUP('Prepared Sales Dataset'!M238,'Product-cost'!A:B,2,FALSE)</f>
        <v>300</v>
      </c>
      <c r="R238" t="s">
        <v>55</v>
      </c>
      <c r="S238" t="s">
        <v>36</v>
      </c>
      <c r="T238" t="s">
        <v>142</v>
      </c>
      <c r="U238" t="s">
        <v>921</v>
      </c>
      <c r="V238" s="17">
        <f>P238*O238</f>
        <v>4444.6500000000005</v>
      </c>
      <c r="W238" s="19">
        <f>O238*Q238</f>
        <v>2100</v>
      </c>
      <c r="X238" s="13">
        <f>VLOOKUP(R238,Taxrate!A:B,2,FALSE)</f>
        <v>7.0000000000000007E-2</v>
      </c>
      <c r="Y238" s="15">
        <f t="shared" si="36"/>
        <v>311.12550000000005</v>
      </c>
      <c r="Z238" s="9">
        <f>VLOOKUP(M238,'Discount Rate'!A:B,2,FALSE)</f>
        <v>0.1</v>
      </c>
      <c r="AA238" s="11">
        <f t="shared" si="37"/>
        <v>444.46500000000009</v>
      </c>
      <c r="AB238" s="15">
        <f t="shared" si="38"/>
        <v>3689.0595000000003</v>
      </c>
      <c r="AC238" s="15">
        <f t="shared" si="39"/>
        <v>1589.0595000000003</v>
      </c>
    </row>
    <row r="239" spans="1:29" x14ac:dyDescent="0.35">
      <c r="A239" t="s">
        <v>566</v>
      </c>
      <c r="B239" t="s">
        <v>567</v>
      </c>
      <c r="C239" t="s">
        <v>77</v>
      </c>
      <c r="D239" t="s">
        <v>63</v>
      </c>
      <c r="E239" s="1">
        <v>45651</v>
      </c>
      <c r="F239" s="24">
        <f t="shared" si="30"/>
        <v>2024</v>
      </c>
      <c r="G239" s="24" t="str">
        <f t="shared" si="31"/>
        <v>December</v>
      </c>
      <c r="H239" s="24" t="str">
        <f t="shared" si="32"/>
        <v>Wednesday</v>
      </c>
      <c r="I239" s="22">
        <v>0.72026620370370376</v>
      </c>
      <c r="J239" s="24">
        <f t="shared" si="33"/>
        <v>17</v>
      </c>
      <c r="K239" s="24">
        <f t="shared" si="34"/>
        <v>17</v>
      </c>
      <c r="L239" s="24">
        <f t="shared" si="35"/>
        <v>11</v>
      </c>
      <c r="M239" t="s">
        <v>26</v>
      </c>
      <c r="N239" t="s">
        <v>27</v>
      </c>
      <c r="O239" s="24">
        <v>4</v>
      </c>
      <c r="P239" s="11">
        <v>552.62</v>
      </c>
      <c r="Q239" s="26">
        <f>VLOOKUP('Prepared Sales Dataset'!M239,'Product-cost'!A:B,2,FALSE)</f>
        <v>300</v>
      </c>
      <c r="R239" t="s">
        <v>28</v>
      </c>
      <c r="S239" t="s">
        <v>241</v>
      </c>
      <c r="T239" t="s">
        <v>30</v>
      </c>
      <c r="U239" t="s">
        <v>921</v>
      </c>
      <c r="V239" s="17">
        <f>P239*O239</f>
        <v>2210.48</v>
      </c>
      <c r="W239" s="19">
        <f>O239*Q239</f>
        <v>1200</v>
      </c>
      <c r="X239" s="13">
        <f>VLOOKUP(R239,Taxrate!A:B,2,FALSE)</f>
        <v>0.1</v>
      </c>
      <c r="Y239" s="15">
        <f t="shared" si="36"/>
        <v>221.048</v>
      </c>
      <c r="Z239" s="9">
        <f>VLOOKUP(M239,'Discount Rate'!A:B,2,FALSE)</f>
        <v>0.1</v>
      </c>
      <c r="AA239" s="11">
        <f t="shared" si="37"/>
        <v>221.048</v>
      </c>
      <c r="AB239" s="15">
        <f t="shared" si="38"/>
        <v>1768.384</v>
      </c>
      <c r="AC239" s="15">
        <f t="shared" si="39"/>
        <v>568.38400000000001</v>
      </c>
    </row>
    <row r="240" spans="1:29" x14ac:dyDescent="0.35">
      <c r="A240" t="s">
        <v>568</v>
      </c>
      <c r="B240" t="s">
        <v>494</v>
      </c>
      <c r="C240" t="s">
        <v>77</v>
      </c>
      <c r="D240" t="s">
        <v>63</v>
      </c>
      <c r="E240" s="1">
        <v>46035</v>
      </c>
      <c r="F240" s="24">
        <f t="shared" si="30"/>
        <v>2026</v>
      </c>
      <c r="G240" s="24" t="str">
        <f t="shared" si="31"/>
        <v>January</v>
      </c>
      <c r="H240" s="24" t="str">
        <f t="shared" si="32"/>
        <v>Tuesday</v>
      </c>
      <c r="I240" s="22">
        <v>0.89609953703703704</v>
      </c>
      <c r="J240" s="24">
        <f t="shared" si="33"/>
        <v>21</v>
      </c>
      <c r="K240" s="24">
        <f t="shared" si="34"/>
        <v>30</v>
      </c>
      <c r="L240" s="24">
        <f t="shared" si="35"/>
        <v>23</v>
      </c>
      <c r="M240" t="s">
        <v>49</v>
      </c>
      <c r="N240" t="s">
        <v>50</v>
      </c>
      <c r="O240" s="24">
        <v>15</v>
      </c>
      <c r="P240" s="11">
        <v>274.67</v>
      </c>
      <c r="Q240" s="26">
        <f>VLOOKUP('Prepared Sales Dataset'!M240,'Product-cost'!A:B,2,FALSE)</f>
        <v>150</v>
      </c>
      <c r="R240" t="s">
        <v>28</v>
      </c>
      <c r="S240" t="s">
        <v>80</v>
      </c>
      <c r="U240" t="s">
        <v>923</v>
      </c>
      <c r="V240" s="17">
        <f>P240*O240</f>
        <v>4120.05</v>
      </c>
      <c r="W240" s="19">
        <f>O240*Q240</f>
        <v>2250</v>
      </c>
      <c r="X240" s="13">
        <f>VLOOKUP(R240,Taxrate!A:B,2,FALSE)</f>
        <v>0.1</v>
      </c>
      <c r="Y240" s="15">
        <f t="shared" si="36"/>
        <v>412.00500000000005</v>
      </c>
      <c r="Z240" s="9">
        <f>VLOOKUP(M240,'Discount Rate'!A:B,2,FALSE)</f>
        <v>7.0000000000000007E-2</v>
      </c>
      <c r="AA240" s="11">
        <f t="shared" si="37"/>
        <v>288.40350000000007</v>
      </c>
      <c r="AB240" s="15">
        <f t="shared" si="38"/>
        <v>3419.6415000000002</v>
      </c>
      <c r="AC240" s="15">
        <f t="shared" si="39"/>
        <v>1169.6415000000002</v>
      </c>
    </row>
    <row r="241" spans="1:29" x14ac:dyDescent="0.35">
      <c r="A241" t="s">
        <v>569</v>
      </c>
      <c r="B241" t="s">
        <v>570</v>
      </c>
      <c r="C241" t="s">
        <v>106</v>
      </c>
      <c r="D241" t="s">
        <v>107</v>
      </c>
      <c r="E241" s="1">
        <v>46034</v>
      </c>
      <c r="F241" s="24">
        <f t="shared" si="30"/>
        <v>2026</v>
      </c>
      <c r="G241" s="24" t="str">
        <f t="shared" si="31"/>
        <v>January</v>
      </c>
      <c r="H241" s="24" t="str">
        <f t="shared" si="32"/>
        <v>Monday</v>
      </c>
      <c r="I241" s="22">
        <v>0.68223379629629632</v>
      </c>
      <c r="J241" s="24">
        <f t="shared" si="33"/>
        <v>16</v>
      </c>
      <c r="K241" s="24">
        <f t="shared" si="34"/>
        <v>22</v>
      </c>
      <c r="L241" s="24">
        <f t="shared" si="35"/>
        <v>25</v>
      </c>
      <c r="M241" t="s">
        <v>26</v>
      </c>
      <c r="N241" t="s">
        <v>27</v>
      </c>
      <c r="O241" s="24">
        <v>2</v>
      </c>
      <c r="P241" s="11">
        <v>618.02</v>
      </c>
      <c r="Q241" s="26">
        <f>VLOOKUP('Prepared Sales Dataset'!M241,'Product-cost'!A:B,2,FALSE)</f>
        <v>300</v>
      </c>
      <c r="R241" t="s">
        <v>55</v>
      </c>
      <c r="S241" t="s">
        <v>108</v>
      </c>
      <c r="T241" t="s">
        <v>133</v>
      </c>
      <c r="U241" t="s">
        <v>921</v>
      </c>
      <c r="V241" s="17">
        <f>P241*O241</f>
        <v>1236.04</v>
      </c>
      <c r="W241" s="19">
        <f>O241*Q241</f>
        <v>600</v>
      </c>
      <c r="X241" s="13">
        <f>VLOOKUP(R241,Taxrate!A:B,2,FALSE)</f>
        <v>7.0000000000000007E-2</v>
      </c>
      <c r="Y241" s="15">
        <f t="shared" si="36"/>
        <v>86.522800000000004</v>
      </c>
      <c r="Z241" s="9">
        <f>VLOOKUP(M241,'Discount Rate'!A:B,2,FALSE)</f>
        <v>0.1</v>
      </c>
      <c r="AA241" s="11">
        <f t="shared" si="37"/>
        <v>123.604</v>
      </c>
      <c r="AB241" s="15">
        <f t="shared" si="38"/>
        <v>1025.9132</v>
      </c>
      <c r="AC241" s="15">
        <f t="shared" si="39"/>
        <v>425.91319999999996</v>
      </c>
    </row>
    <row r="242" spans="1:29" x14ac:dyDescent="0.35">
      <c r="A242" t="s">
        <v>571</v>
      </c>
      <c r="B242" t="s">
        <v>572</v>
      </c>
      <c r="C242" t="s">
        <v>24</v>
      </c>
      <c r="D242" t="s">
        <v>25</v>
      </c>
      <c r="E242" s="1">
        <v>45892</v>
      </c>
      <c r="F242" s="24">
        <f t="shared" si="30"/>
        <v>2025</v>
      </c>
      <c r="G242" s="24" t="str">
        <f t="shared" si="31"/>
        <v>August</v>
      </c>
      <c r="H242" s="24" t="str">
        <f t="shared" si="32"/>
        <v>Saturday</v>
      </c>
      <c r="I242" s="22">
        <v>0.54966435185185181</v>
      </c>
      <c r="J242" s="24">
        <f t="shared" si="33"/>
        <v>13</v>
      </c>
      <c r="K242" s="24">
        <f t="shared" si="34"/>
        <v>11</v>
      </c>
      <c r="L242" s="24">
        <f t="shared" si="35"/>
        <v>31</v>
      </c>
      <c r="M242" t="s">
        <v>78</v>
      </c>
      <c r="N242" t="s">
        <v>79</v>
      </c>
      <c r="O242" s="24">
        <v>12</v>
      </c>
      <c r="P242" s="11">
        <v>147.38</v>
      </c>
      <c r="Q242" s="26">
        <f>VLOOKUP('Prepared Sales Dataset'!M242,'Product-cost'!A:B,2,FALSE)</f>
        <v>50</v>
      </c>
      <c r="R242" t="s">
        <v>42</v>
      </c>
      <c r="S242" t="s">
        <v>29</v>
      </c>
      <c r="T242" t="s">
        <v>44</v>
      </c>
      <c r="U242" t="s">
        <v>921</v>
      </c>
      <c r="V242" s="17">
        <f>P242*O242</f>
        <v>1768.56</v>
      </c>
      <c r="W242" s="19">
        <f>O242*Q242</f>
        <v>600</v>
      </c>
      <c r="X242" s="13">
        <f>VLOOKUP(R242,Taxrate!A:B,2,FALSE)</f>
        <v>0.15</v>
      </c>
      <c r="Y242" s="15">
        <f t="shared" si="36"/>
        <v>265.28399999999999</v>
      </c>
      <c r="Z242" s="9">
        <f>VLOOKUP(M242,'Discount Rate'!A:B,2,FALSE)</f>
        <v>0.03</v>
      </c>
      <c r="AA242" s="11">
        <f t="shared" si="37"/>
        <v>53.056799999999996</v>
      </c>
      <c r="AB242" s="15">
        <f t="shared" si="38"/>
        <v>1450.2192</v>
      </c>
      <c r="AC242" s="15">
        <f t="shared" si="39"/>
        <v>850.2192</v>
      </c>
    </row>
    <row r="243" spans="1:29" x14ac:dyDescent="0.35">
      <c r="A243" t="s">
        <v>573</v>
      </c>
      <c r="B243" t="s">
        <v>574</v>
      </c>
      <c r="C243" t="s">
        <v>106</v>
      </c>
      <c r="D243" t="s">
        <v>107</v>
      </c>
      <c r="E243" s="1">
        <v>45328</v>
      </c>
      <c r="F243" s="24">
        <f t="shared" si="30"/>
        <v>2024</v>
      </c>
      <c r="G243" s="24" t="str">
        <f t="shared" si="31"/>
        <v>February</v>
      </c>
      <c r="H243" s="24" t="str">
        <f t="shared" si="32"/>
        <v>Tuesday</v>
      </c>
      <c r="I243" s="22">
        <v>0.86607638888888894</v>
      </c>
      <c r="J243" s="24">
        <f t="shared" si="33"/>
        <v>20</v>
      </c>
      <c r="K243" s="24">
        <f t="shared" si="34"/>
        <v>47</v>
      </c>
      <c r="L243" s="24">
        <f t="shared" si="35"/>
        <v>9</v>
      </c>
      <c r="M243" t="s">
        <v>78</v>
      </c>
      <c r="N243" t="s">
        <v>79</v>
      </c>
      <c r="O243" s="24">
        <v>3</v>
      </c>
      <c r="P243" s="11">
        <v>130.09</v>
      </c>
      <c r="Q243" s="26">
        <f>VLOOKUP('Prepared Sales Dataset'!M243,'Product-cost'!A:B,2,FALSE)</f>
        <v>50</v>
      </c>
      <c r="R243" t="s">
        <v>59</v>
      </c>
      <c r="S243" t="s">
        <v>108</v>
      </c>
      <c r="U243" t="s">
        <v>923</v>
      </c>
      <c r="V243" s="17">
        <f>P243*O243</f>
        <v>390.27</v>
      </c>
      <c r="W243" s="19">
        <f>O243*Q243</f>
        <v>150</v>
      </c>
      <c r="X243" s="13">
        <f>VLOOKUP(R243,Taxrate!A:B,2,FALSE)</f>
        <v>0.12</v>
      </c>
      <c r="Y243" s="15">
        <f t="shared" si="36"/>
        <v>46.832399999999993</v>
      </c>
      <c r="Z243" s="9">
        <f>VLOOKUP(M243,'Discount Rate'!A:B,2,FALSE)</f>
        <v>0.03</v>
      </c>
      <c r="AA243" s="11">
        <f t="shared" si="37"/>
        <v>11.708099999999998</v>
      </c>
      <c r="AB243" s="15">
        <f t="shared" si="38"/>
        <v>331.72949999999997</v>
      </c>
      <c r="AC243" s="15">
        <f t="shared" si="39"/>
        <v>181.72949999999997</v>
      </c>
    </row>
    <row r="244" spans="1:29" x14ac:dyDescent="0.35">
      <c r="A244" t="s">
        <v>575</v>
      </c>
      <c r="B244" t="s">
        <v>152</v>
      </c>
      <c r="C244" t="s">
        <v>62</v>
      </c>
      <c r="D244" t="s">
        <v>63</v>
      </c>
      <c r="E244" s="1">
        <v>45368</v>
      </c>
      <c r="F244" s="24">
        <f t="shared" si="30"/>
        <v>2024</v>
      </c>
      <c r="G244" s="24" t="str">
        <f t="shared" si="31"/>
        <v>March</v>
      </c>
      <c r="H244" s="24" t="str">
        <f t="shared" si="32"/>
        <v>Sunday</v>
      </c>
      <c r="I244" s="22">
        <v>0.66226851851851853</v>
      </c>
      <c r="J244" s="24">
        <f t="shared" si="33"/>
        <v>15</v>
      </c>
      <c r="K244" s="24">
        <f t="shared" si="34"/>
        <v>53</v>
      </c>
      <c r="L244" s="24">
        <f t="shared" si="35"/>
        <v>40</v>
      </c>
      <c r="M244" t="s">
        <v>17</v>
      </c>
      <c r="N244" t="s">
        <v>18</v>
      </c>
      <c r="O244" s="24">
        <v>6</v>
      </c>
      <c r="P244" s="11">
        <v>980.15</v>
      </c>
      <c r="Q244" s="26">
        <f>VLOOKUP('Prepared Sales Dataset'!M244,'Product-cost'!A:B,2,FALSE)</f>
        <v>600</v>
      </c>
      <c r="R244" t="s">
        <v>59</v>
      </c>
      <c r="S244" t="s">
        <v>241</v>
      </c>
      <c r="T244" t="s">
        <v>37</v>
      </c>
      <c r="U244" t="s">
        <v>921</v>
      </c>
      <c r="V244" s="17">
        <f>P244*O244</f>
        <v>5880.9</v>
      </c>
      <c r="W244" s="19">
        <f>O244*Q244</f>
        <v>3600</v>
      </c>
      <c r="X244" s="13">
        <f>VLOOKUP(R244,Taxrate!A:B,2,FALSE)</f>
        <v>0.12</v>
      </c>
      <c r="Y244" s="15">
        <f t="shared" si="36"/>
        <v>705.70799999999997</v>
      </c>
      <c r="Z244" s="9">
        <f>VLOOKUP(M244,'Discount Rate'!A:B,2,FALSE)</f>
        <v>0.05</v>
      </c>
      <c r="AA244" s="11">
        <f t="shared" si="37"/>
        <v>294.04500000000002</v>
      </c>
      <c r="AB244" s="15">
        <f t="shared" si="38"/>
        <v>4881.1469999999999</v>
      </c>
      <c r="AC244" s="15">
        <f t="shared" si="39"/>
        <v>1281.1469999999999</v>
      </c>
    </row>
    <row r="245" spans="1:29" x14ac:dyDescent="0.35">
      <c r="A245" t="s">
        <v>576</v>
      </c>
      <c r="B245" t="s">
        <v>76</v>
      </c>
      <c r="C245" t="s">
        <v>179</v>
      </c>
      <c r="D245" t="s">
        <v>41</v>
      </c>
      <c r="E245" s="1">
        <v>45509</v>
      </c>
      <c r="F245" s="24">
        <f t="shared" si="30"/>
        <v>2024</v>
      </c>
      <c r="G245" s="24" t="str">
        <f t="shared" si="31"/>
        <v>August</v>
      </c>
      <c r="H245" s="24" t="str">
        <f t="shared" si="32"/>
        <v>Monday</v>
      </c>
      <c r="I245" s="22">
        <v>0.5718981481481481</v>
      </c>
      <c r="J245" s="24">
        <f t="shared" si="33"/>
        <v>13</v>
      </c>
      <c r="K245" s="24">
        <f t="shared" si="34"/>
        <v>43</v>
      </c>
      <c r="L245" s="24">
        <f t="shared" si="35"/>
        <v>32</v>
      </c>
      <c r="M245" t="s">
        <v>78</v>
      </c>
      <c r="N245" t="s">
        <v>79</v>
      </c>
      <c r="O245" s="24">
        <v>8</v>
      </c>
      <c r="P245" s="11">
        <v>148.58000000000001</v>
      </c>
      <c r="Q245" s="26">
        <f>VLOOKUP('Prepared Sales Dataset'!M245,'Product-cost'!A:B,2,FALSE)</f>
        <v>50</v>
      </c>
      <c r="R245" t="s">
        <v>28</v>
      </c>
      <c r="S245" t="s">
        <v>90</v>
      </c>
      <c r="T245" t="s">
        <v>133</v>
      </c>
      <c r="U245" t="s">
        <v>921</v>
      </c>
      <c r="V245" s="17">
        <f>P245*O245</f>
        <v>1188.6400000000001</v>
      </c>
      <c r="W245" s="19">
        <f>O245*Q245</f>
        <v>400</v>
      </c>
      <c r="X245" s="13">
        <f>VLOOKUP(R245,Taxrate!A:B,2,FALSE)</f>
        <v>0.1</v>
      </c>
      <c r="Y245" s="15">
        <f t="shared" si="36"/>
        <v>118.86400000000002</v>
      </c>
      <c r="Z245" s="9">
        <f>VLOOKUP(M245,'Discount Rate'!A:B,2,FALSE)</f>
        <v>0.03</v>
      </c>
      <c r="AA245" s="11">
        <f t="shared" si="37"/>
        <v>35.659199999999998</v>
      </c>
      <c r="AB245" s="15">
        <f t="shared" si="38"/>
        <v>1034.1168</v>
      </c>
      <c r="AC245" s="15">
        <f t="shared" si="39"/>
        <v>634.11680000000001</v>
      </c>
    </row>
    <row r="246" spans="1:29" x14ac:dyDescent="0.35">
      <c r="A246" t="s">
        <v>577</v>
      </c>
      <c r="B246" t="s">
        <v>578</v>
      </c>
      <c r="C246" t="s">
        <v>70</v>
      </c>
      <c r="D246" t="s">
        <v>71</v>
      </c>
      <c r="E246" s="1">
        <v>45630</v>
      </c>
      <c r="F246" s="24">
        <f t="shared" si="30"/>
        <v>2024</v>
      </c>
      <c r="G246" s="24" t="str">
        <f t="shared" si="31"/>
        <v>December</v>
      </c>
      <c r="H246" s="24" t="str">
        <f t="shared" si="32"/>
        <v>Wednesday</v>
      </c>
      <c r="I246" s="22">
        <v>0.55603009259259262</v>
      </c>
      <c r="J246" s="24">
        <f t="shared" si="33"/>
        <v>13</v>
      </c>
      <c r="K246" s="24">
        <f t="shared" si="34"/>
        <v>20</v>
      </c>
      <c r="L246" s="24">
        <f t="shared" si="35"/>
        <v>41</v>
      </c>
      <c r="M246" t="s">
        <v>33</v>
      </c>
      <c r="N246" t="s">
        <v>34</v>
      </c>
      <c r="O246" s="24">
        <v>10</v>
      </c>
      <c r="P246" s="11">
        <v>374.25</v>
      </c>
      <c r="Q246" s="26">
        <f>VLOOKUP('Prepared Sales Dataset'!M246,'Product-cost'!A:B,2,FALSE)</f>
        <v>200</v>
      </c>
      <c r="R246" t="s">
        <v>42</v>
      </c>
      <c r="S246" t="s">
        <v>190</v>
      </c>
      <c r="T246" t="s">
        <v>172</v>
      </c>
      <c r="U246" t="s">
        <v>921</v>
      </c>
      <c r="V246" s="17">
        <f>P246*O246</f>
        <v>3742.5</v>
      </c>
      <c r="W246" s="19">
        <f>O246*Q246</f>
        <v>2000</v>
      </c>
      <c r="X246" s="13">
        <f>VLOOKUP(R246,Taxrate!A:B,2,FALSE)</f>
        <v>0.15</v>
      </c>
      <c r="Y246" s="15">
        <f t="shared" si="36"/>
        <v>561.375</v>
      </c>
      <c r="Z246" s="9">
        <f>VLOOKUP(M246,'Discount Rate'!A:B,2,FALSE)</f>
        <v>0.08</v>
      </c>
      <c r="AA246" s="11">
        <f t="shared" si="37"/>
        <v>299.40000000000003</v>
      </c>
      <c r="AB246" s="15">
        <f t="shared" si="38"/>
        <v>2881.7249999999999</v>
      </c>
      <c r="AC246" s="15">
        <f t="shared" si="39"/>
        <v>881.72499999999991</v>
      </c>
    </row>
    <row r="247" spans="1:29" x14ac:dyDescent="0.35">
      <c r="A247" t="s">
        <v>579</v>
      </c>
      <c r="B247" t="s">
        <v>580</v>
      </c>
      <c r="C247" t="s">
        <v>139</v>
      </c>
      <c r="D247" t="s">
        <v>25</v>
      </c>
      <c r="E247" s="1">
        <v>45407</v>
      </c>
      <c r="F247" s="24">
        <f t="shared" si="30"/>
        <v>2024</v>
      </c>
      <c r="G247" s="24" t="str">
        <f t="shared" si="31"/>
        <v>April</v>
      </c>
      <c r="H247" s="24" t="str">
        <f t="shared" si="32"/>
        <v>Thursday</v>
      </c>
      <c r="I247" s="22">
        <v>0.82276620370370368</v>
      </c>
      <c r="J247" s="24">
        <f t="shared" si="33"/>
        <v>19</v>
      </c>
      <c r="K247" s="24">
        <f t="shared" si="34"/>
        <v>44</v>
      </c>
      <c r="L247" s="24">
        <f t="shared" si="35"/>
        <v>47</v>
      </c>
      <c r="M247" t="s">
        <v>17</v>
      </c>
      <c r="N247" t="s">
        <v>18</v>
      </c>
      <c r="O247" s="24">
        <v>7</v>
      </c>
      <c r="P247" s="11">
        <v>506</v>
      </c>
      <c r="Q247" s="26">
        <f>VLOOKUP('Prepared Sales Dataset'!M247,'Product-cost'!A:B,2,FALSE)</f>
        <v>600</v>
      </c>
      <c r="R247" t="s">
        <v>55</v>
      </c>
      <c r="S247" t="s">
        <v>29</v>
      </c>
      <c r="T247" t="s">
        <v>142</v>
      </c>
      <c r="U247" t="s">
        <v>921</v>
      </c>
      <c r="V247" s="17">
        <f>P247*O247</f>
        <v>3542</v>
      </c>
      <c r="W247" s="19">
        <f>O247*Q247</f>
        <v>4200</v>
      </c>
      <c r="X247" s="13">
        <f>VLOOKUP(R247,Taxrate!A:B,2,FALSE)</f>
        <v>7.0000000000000007E-2</v>
      </c>
      <c r="Y247" s="15">
        <f t="shared" si="36"/>
        <v>247.94000000000003</v>
      </c>
      <c r="Z247" s="9">
        <f>VLOOKUP(M247,'Discount Rate'!A:B,2,FALSE)</f>
        <v>0.05</v>
      </c>
      <c r="AA247" s="11">
        <f t="shared" si="37"/>
        <v>177.10000000000002</v>
      </c>
      <c r="AB247" s="15">
        <f t="shared" si="38"/>
        <v>3116.96</v>
      </c>
      <c r="AC247" s="15">
        <f t="shared" si="39"/>
        <v>-1083.04</v>
      </c>
    </row>
    <row r="248" spans="1:29" x14ac:dyDescent="0.35">
      <c r="A248" t="s">
        <v>581</v>
      </c>
      <c r="B248" t="s">
        <v>582</v>
      </c>
      <c r="C248" t="s">
        <v>139</v>
      </c>
      <c r="D248" t="s">
        <v>25</v>
      </c>
      <c r="E248" s="1">
        <v>46268</v>
      </c>
      <c r="F248" s="24">
        <f t="shared" si="30"/>
        <v>2026</v>
      </c>
      <c r="G248" s="24" t="str">
        <f t="shared" si="31"/>
        <v>September</v>
      </c>
      <c r="H248" s="24" t="str">
        <f t="shared" si="32"/>
        <v>Thursday</v>
      </c>
      <c r="I248" s="22">
        <v>0.50989583333333333</v>
      </c>
      <c r="J248" s="24">
        <f t="shared" si="33"/>
        <v>12</v>
      </c>
      <c r="K248" s="24">
        <f t="shared" si="34"/>
        <v>14</v>
      </c>
      <c r="L248" s="24">
        <f t="shared" si="35"/>
        <v>15</v>
      </c>
      <c r="M248" t="s">
        <v>33</v>
      </c>
      <c r="N248" t="s">
        <v>34</v>
      </c>
      <c r="O248" s="24">
        <v>3</v>
      </c>
      <c r="P248" s="11">
        <v>487.7</v>
      </c>
      <c r="Q248" s="26">
        <f>VLOOKUP('Prepared Sales Dataset'!M248,'Product-cost'!A:B,2,FALSE)</f>
        <v>200</v>
      </c>
      <c r="R248" t="s">
        <v>55</v>
      </c>
      <c r="S248" t="s">
        <v>56</v>
      </c>
      <c r="T248" t="s">
        <v>103</v>
      </c>
      <c r="U248" t="s">
        <v>921</v>
      </c>
      <c r="V248" s="17">
        <f>P248*O248</f>
        <v>1463.1</v>
      </c>
      <c r="W248" s="19">
        <f>O248*Q248</f>
        <v>600</v>
      </c>
      <c r="X248" s="13">
        <f>VLOOKUP(R248,Taxrate!A:B,2,FALSE)</f>
        <v>7.0000000000000007E-2</v>
      </c>
      <c r="Y248" s="15">
        <f t="shared" si="36"/>
        <v>102.417</v>
      </c>
      <c r="Z248" s="9">
        <f>VLOOKUP(M248,'Discount Rate'!A:B,2,FALSE)</f>
        <v>0.08</v>
      </c>
      <c r="AA248" s="11">
        <f t="shared" si="37"/>
        <v>117.048</v>
      </c>
      <c r="AB248" s="15">
        <f t="shared" si="38"/>
        <v>1243.635</v>
      </c>
      <c r="AC248" s="15">
        <f t="shared" si="39"/>
        <v>643.63499999999999</v>
      </c>
    </row>
    <row r="249" spans="1:29" x14ac:dyDescent="0.35">
      <c r="A249" t="s">
        <v>583</v>
      </c>
      <c r="B249" t="s">
        <v>584</v>
      </c>
      <c r="C249" t="s">
        <v>150</v>
      </c>
      <c r="D249" t="s">
        <v>25</v>
      </c>
      <c r="E249" s="1">
        <v>46355</v>
      </c>
      <c r="F249" s="24">
        <f t="shared" si="30"/>
        <v>2026</v>
      </c>
      <c r="G249" s="24" t="str">
        <f t="shared" si="31"/>
        <v>November</v>
      </c>
      <c r="H249" s="24" t="str">
        <f t="shared" si="32"/>
        <v>Sunday</v>
      </c>
      <c r="I249" s="22">
        <v>0.7350578703703704</v>
      </c>
      <c r="J249" s="24">
        <f t="shared" si="33"/>
        <v>17</v>
      </c>
      <c r="K249" s="24">
        <f t="shared" si="34"/>
        <v>38</v>
      </c>
      <c r="L249" s="24">
        <f t="shared" si="35"/>
        <v>29</v>
      </c>
      <c r="M249" t="s">
        <v>49</v>
      </c>
      <c r="N249" t="s">
        <v>50</v>
      </c>
      <c r="O249" s="24">
        <v>11</v>
      </c>
      <c r="P249" s="11">
        <v>210.06</v>
      </c>
      <c r="Q249" s="26">
        <f>VLOOKUP('Prepared Sales Dataset'!M249,'Product-cost'!A:B,2,FALSE)</f>
        <v>150</v>
      </c>
      <c r="R249" t="s">
        <v>28</v>
      </c>
      <c r="S249" t="s">
        <v>155</v>
      </c>
      <c r="U249" t="s">
        <v>923</v>
      </c>
      <c r="V249" s="17">
        <f>P249*O249</f>
        <v>2310.66</v>
      </c>
      <c r="W249" s="19">
        <f>O249*Q249</f>
        <v>1650</v>
      </c>
      <c r="X249" s="13">
        <f>VLOOKUP(R249,Taxrate!A:B,2,FALSE)</f>
        <v>0.1</v>
      </c>
      <c r="Y249" s="15">
        <f t="shared" si="36"/>
        <v>231.066</v>
      </c>
      <c r="Z249" s="9">
        <f>VLOOKUP(M249,'Discount Rate'!A:B,2,FALSE)</f>
        <v>7.0000000000000007E-2</v>
      </c>
      <c r="AA249" s="11">
        <f t="shared" si="37"/>
        <v>161.74620000000002</v>
      </c>
      <c r="AB249" s="15">
        <f t="shared" si="38"/>
        <v>1917.8477999999998</v>
      </c>
      <c r="AC249" s="15">
        <f t="shared" si="39"/>
        <v>267.84779999999978</v>
      </c>
    </row>
    <row r="250" spans="1:29" x14ac:dyDescent="0.35">
      <c r="A250" t="s">
        <v>585</v>
      </c>
      <c r="B250" t="s">
        <v>127</v>
      </c>
      <c r="C250" t="s">
        <v>136</v>
      </c>
      <c r="D250" t="s">
        <v>25</v>
      </c>
      <c r="E250" s="1">
        <v>45631</v>
      </c>
      <c r="F250" s="24">
        <f t="shared" si="30"/>
        <v>2024</v>
      </c>
      <c r="G250" s="24" t="str">
        <f t="shared" si="31"/>
        <v>December</v>
      </c>
      <c r="H250" s="24" t="str">
        <f t="shared" si="32"/>
        <v>Thursday</v>
      </c>
      <c r="I250" s="22">
        <v>0.64861111111111114</v>
      </c>
      <c r="J250" s="24">
        <f t="shared" si="33"/>
        <v>15</v>
      </c>
      <c r="K250" s="24">
        <f t="shared" si="34"/>
        <v>34</v>
      </c>
      <c r="L250" s="24">
        <f t="shared" si="35"/>
        <v>0</v>
      </c>
      <c r="M250" t="s">
        <v>78</v>
      </c>
      <c r="N250" t="s">
        <v>79</v>
      </c>
      <c r="O250" s="24">
        <v>8</v>
      </c>
      <c r="P250" s="11">
        <v>177.44</v>
      </c>
      <c r="Q250" s="26">
        <f>VLOOKUP('Prepared Sales Dataset'!M250,'Product-cost'!A:B,2,FALSE)</f>
        <v>50</v>
      </c>
      <c r="R250" t="s">
        <v>28</v>
      </c>
      <c r="S250" t="s">
        <v>29</v>
      </c>
      <c r="T250" t="s">
        <v>74</v>
      </c>
      <c r="U250" t="s">
        <v>922</v>
      </c>
      <c r="V250" s="17">
        <f>P250*O250</f>
        <v>1419.52</v>
      </c>
      <c r="W250" s="19">
        <f>O250*Q250</f>
        <v>400</v>
      </c>
      <c r="X250" s="13">
        <f>VLOOKUP(R250,Taxrate!A:B,2,FALSE)</f>
        <v>0.1</v>
      </c>
      <c r="Y250" s="15">
        <f t="shared" si="36"/>
        <v>141.952</v>
      </c>
      <c r="Z250" s="9">
        <f>VLOOKUP(M250,'Discount Rate'!A:B,2,FALSE)</f>
        <v>0.03</v>
      </c>
      <c r="AA250" s="11">
        <f t="shared" si="37"/>
        <v>42.585599999999999</v>
      </c>
      <c r="AB250" s="15">
        <f t="shared" si="38"/>
        <v>1234.9823999999999</v>
      </c>
      <c r="AC250" s="15">
        <f t="shared" si="39"/>
        <v>834.98239999999987</v>
      </c>
    </row>
    <row r="251" spans="1:29" x14ac:dyDescent="0.35">
      <c r="A251" t="s">
        <v>586</v>
      </c>
      <c r="B251" t="s">
        <v>587</v>
      </c>
      <c r="C251" t="s">
        <v>169</v>
      </c>
      <c r="D251" t="s">
        <v>170</v>
      </c>
      <c r="E251" s="1">
        <v>45378</v>
      </c>
      <c r="F251" s="24">
        <f t="shared" si="30"/>
        <v>2024</v>
      </c>
      <c r="G251" s="24" t="str">
        <f t="shared" si="31"/>
        <v>March</v>
      </c>
      <c r="H251" s="24" t="str">
        <f t="shared" si="32"/>
        <v>Wednesday</v>
      </c>
      <c r="I251" s="22">
        <v>0.39421296296296299</v>
      </c>
      <c r="J251" s="24">
        <f t="shared" si="33"/>
        <v>9</v>
      </c>
      <c r="K251" s="24">
        <f t="shared" si="34"/>
        <v>27</v>
      </c>
      <c r="L251" s="24">
        <f t="shared" si="35"/>
        <v>40</v>
      </c>
      <c r="M251" t="s">
        <v>26</v>
      </c>
      <c r="N251" t="s">
        <v>27</v>
      </c>
      <c r="O251" s="24">
        <v>13</v>
      </c>
      <c r="P251" s="11">
        <v>722.27</v>
      </c>
      <c r="Q251" s="26">
        <f>VLOOKUP('Prepared Sales Dataset'!M251,'Product-cost'!A:B,2,FALSE)</f>
        <v>300</v>
      </c>
      <c r="R251" t="s">
        <v>28</v>
      </c>
      <c r="S251" t="s">
        <v>171</v>
      </c>
      <c r="T251" t="s">
        <v>231</v>
      </c>
      <c r="U251" t="s">
        <v>922</v>
      </c>
      <c r="V251" s="17">
        <f>P251*O251</f>
        <v>9389.51</v>
      </c>
      <c r="W251" s="19">
        <f>O251*Q251</f>
        <v>3900</v>
      </c>
      <c r="X251" s="13">
        <f>VLOOKUP(R251,Taxrate!A:B,2,FALSE)</f>
        <v>0.1</v>
      </c>
      <c r="Y251" s="15">
        <f t="shared" si="36"/>
        <v>938.95100000000002</v>
      </c>
      <c r="Z251" s="9">
        <f>VLOOKUP(M251,'Discount Rate'!A:B,2,FALSE)</f>
        <v>0.1</v>
      </c>
      <c r="AA251" s="11">
        <f t="shared" si="37"/>
        <v>938.95100000000002</v>
      </c>
      <c r="AB251" s="15">
        <f t="shared" si="38"/>
        <v>7511.6080000000002</v>
      </c>
      <c r="AC251" s="15">
        <f t="shared" si="39"/>
        <v>3611.6080000000002</v>
      </c>
    </row>
    <row r="252" spans="1:29" x14ac:dyDescent="0.35">
      <c r="A252" t="s">
        <v>588</v>
      </c>
      <c r="B252" t="s">
        <v>589</v>
      </c>
      <c r="C252" t="s">
        <v>150</v>
      </c>
      <c r="D252" t="s">
        <v>25</v>
      </c>
      <c r="E252" s="1">
        <v>45484</v>
      </c>
      <c r="F252" s="24">
        <f t="shared" si="30"/>
        <v>2024</v>
      </c>
      <c r="G252" s="24" t="str">
        <f t="shared" si="31"/>
        <v>July</v>
      </c>
      <c r="H252" s="24" t="str">
        <f t="shared" si="32"/>
        <v>Thursday</v>
      </c>
      <c r="I252" s="22">
        <v>0.4722337962962963</v>
      </c>
      <c r="J252" s="24">
        <f t="shared" si="33"/>
        <v>11</v>
      </c>
      <c r="K252" s="24">
        <f t="shared" si="34"/>
        <v>20</v>
      </c>
      <c r="L252" s="24">
        <f t="shared" si="35"/>
        <v>1</v>
      </c>
      <c r="M252" t="s">
        <v>26</v>
      </c>
      <c r="N252" t="s">
        <v>27</v>
      </c>
      <c r="O252" s="24">
        <v>8</v>
      </c>
      <c r="P252" s="11">
        <v>535.78</v>
      </c>
      <c r="Q252" s="26">
        <f>VLOOKUP('Prepared Sales Dataset'!M252,'Product-cost'!A:B,2,FALSE)</f>
        <v>300</v>
      </c>
      <c r="R252" t="s">
        <v>55</v>
      </c>
      <c r="S252" t="s">
        <v>29</v>
      </c>
      <c r="T252" t="s">
        <v>21</v>
      </c>
      <c r="U252" t="s">
        <v>921</v>
      </c>
      <c r="V252" s="17">
        <f>P252*O252</f>
        <v>4286.24</v>
      </c>
      <c r="W252" s="19">
        <f>O252*Q252</f>
        <v>2400</v>
      </c>
      <c r="X252" s="13">
        <f>VLOOKUP(R252,Taxrate!A:B,2,FALSE)</f>
        <v>7.0000000000000007E-2</v>
      </c>
      <c r="Y252" s="15">
        <f t="shared" si="36"/>
        <v>300.03680000000003</v>
      </c>
      <c r="Z252" s="9">
        <f>VLOOKUP(M252,'Discount Rate'!A:B,2,FALSE)</f>
        <v>0.1</v>
      </c>
      <c r="AA252" s="11">
        <f t="shared" si="37"/>
        <v>428.62400000000002</v>
      </c>
      <c r="AB252" s="15">
        <f t="shared" si="38"/>
        <v>3557.5791999999997</v>
      </c>
      <c r="AC252" s="15">
        <f t="shared" si="39"/>
        <v>1157.5791999999997</v>
      </c>
    </row>
    <row r="253" spans="1:29" x14ac:dyDescent="0.35">
      <c r="A253" t="s">
        <v>590</v>
      </c>
      <c r="B253" t="s">
        <v>591</v>
      </c>
      <c r="C253" t="s">
        <v>106</v>
      </c>
      <c r="D253" t="s">
        <v>107</v>
      </c>
      <c r="E253" s="1">
        <v>45947</v>
      </c>
      <c r="F253" s="24">
        <f t="shared" si="30"/>
        <v>2025</v>
      </c>
      <c r="G253" s="24" t="str">
        <f t="shared" si="31"/>
        <v>October</v>
      </c>
      <c r="H253" s="24" t="str">
        <f t="shared" si="32"/>
        <v>Friday</v>
      </c>
      <c r="I253" s="22">
        <v>0.65613425925925928</v>
      </c>
      <c r="J253" s="24">
        <f t="shared" si="33"/>
        <v>15</v>
      </c>
      <c r="K253" s="24">
        <f t="shared" si="34"/>
        <v>44</v>
      </c>
      <c r="L253" s="24">
        <f t="shared" si="35"/>
        <v>50</v>
      </c>
      <c r="M253" t="s">
        <v>17</v>
      </c>
      <c r="N253" t="s">
        <v>18</v>
      </c>
      <c r="O253" s="24">
        <v>14</v>
      </c>
      <c r="P253" s="11">
        <v>873.04</v>
      </c>
      <c r="Q253" s="26">
        <f>VLOOKUP('Prepared Sales Dataset'!M253,'Product-cost'!A:B,2,FALSE)</f>
        <v>600</v>
      </c>
      <c r="R253" t="s">
        <v>28</v>
      </c>
      <c r="S253" t="s">
        <v>108</v>
      </c>
      <c r="T253" t="s">
        <v>74</v>
      </c>
      <c r="U253" t="s">
        <v>922</v>
      </c>
      <c r="V253" s="17">
        <f>P253*O253</f>
        <v>12222.56</v>
      </c>
      <c r="W253" s="19">
        <f>O253*Q253</f>
        <v>8400</v>
      </c>
      <c r="X253" s="13">
        <f>VLOOKUP(R253,Taxrate!A:B,2,FALSE)</f>
        <v>0.1</v>
      </c>
      <c r="Y253" s="15">
        <f t="shared" si="36"/>
        <v>1222.2560000000001</v>
      </c>
      <c r="Z253" s="9">
        <f>VLOOKUP(M253,'Discount Rate'!A:B,2,FALSE)</f>
        <v>0.05</v>
      </c>
      <c r="AA253" s="11">
        <f t="shared" si="37"/>
        <v>611.12800000000004</v>
      </c>
      <c r="AB253" s="15">
        <f t="shared" si="38"/>
        <v>10389.175999999999</v>
      </c>
      <c r="AC253" s="15">
        <f t="shared" si="39"/>
        <v>1989.1759999999995</v>
      </c>
    </row>
    <row r="254" spans="1:29" x14ac:dyDescent="0.35">
      <c r="A254" t="s">
        <v>592</v>
      </c>
      <c r="B254" t="s">
        <v>593</v>
      </c>
      <c r="C254" t="s">
        <v>15</v>
      </c>
      <c r="D254" t="s">
        <v>16</v>
      </c>
      <c r="E254" s="1">
        <v>45715</v>
      </c>
      <c r="F254" s="24">
        <f t="shared" si="30"/>
        <v>2025</v>
      </c>
      <c r="G254" s="24" t="str">
        <f t="shared" si="31"/>
        <v>February</v>
      </c>
      <c r="H254" s="24" t="str">
        <f t="shared" si="32"/>
        <v>Thursday</v>
      </c>
      <c r="I254" s="22">
        <v>0.49099537037037039</v>
      </c>
      <c r="J254" s="24">
        <f t="shared" si="33"/>
        <v>11</v>
      </c>
      <c r="K254" s="24">
        <f t="shared" si="34"/>
        <v>47</v>
      </c>
      <c r="L254" s="24">
        <f t="shared" si="35"/>
        <v>2</v>
      </c>
      <c r="M254" t="s">
        <v>26</v>
      </c>
      <c r="N254" t="s">
        <v>27</v>
      </c>
      <c r="O254" s="24">
        <v>13</v>
      </c>
      <c r="P254" s="11">
        <v>506</v>
      </c>
      <c r="Q254" s="26">
        <f>VLOOKUP('Prepared Sales Dataset'!M254,'Product-cost'!A:B,2,FALSE)</f>
        <v>300</v>
      </c>
      <c r="R254" t="s">
        <v>35</v>
      </c>
      <c r="S254" t="s">
        <v>20</v>
      </c>
      <c r="T254" t="s">
        <v>133</v>
      </c>
      <c r="U254" t="s">
        <v>921</v>
      </c>
      <c r="V254" s="17">
        <f>P254*O254</f>
        <v>6578</v>
      </c>
      <c r="W254" s="19">
        <f>O254*Q254</f>
        <v>3900</v>
      </c>
      <c r="X254" s="13">
        <f>VLOOKUP(R254,Taxrate!A:B,2,FALSE)</f>
        <v>0.2</v>
      </c>
      <c r="Y254" s="15">
        <f t="shared" si="36"/>
        <v>1315.6000000000001</v>
      </c>
      <c r="Z254" s="9">
        <f>VLOOKUP(M254,'Discount Rate'!A:B,2,FALSE)</f>
        <v>0.1</v>
      </c>
      <c r="AA254" s="11">
        <f t="shared" si="37"/>
        <v>657.80000000000007</v>
      </c>
      <c r="AB254" s="15">
        <f t="shared" si="38"/>
        <v>4604.6000000000004</v>
      </c>
      <c r="AC254" s="15">
        <f t="shared" si="39"/>
        <v>704.60000000000036</v>
      </c>
    </row>
    <row r="255" spans="1:29" x14ac:dyDescent="0.35">
      <c r="A255" t="s">
        <v>594</v>
      </c>
      <c r="B255" t="s">
        <v>323</v>
      </c>
      <c r="C255" t="s">
        <v>136</v>
      </c>
      <c r="D255" t="s">
        <v>25</v>
      </c>
      <c r="E255" s="1">
        <v>45445</v>
      </c>
      <c r="F255" s="24">
        <f t="shared" si="30"/>
        <v>2024</v>
      </c>
      <c r="G255" s="24" t="str">
        <f t="shared" si="31"/>
        <v>June</v>
      </c>
      <c r="H255" s="24" t="str">
        <f t="shared" si="32"/>
        <v>Sunday</v>
      </c>
      <c r="I255" s="22">
        <v>0.76333333333333331</v>
      </c>
      <c r="J255" s="24">
        <f t="shared" si="33"/>
        <v>18</v>
      </c>
      <c r="K255" s="24">
        <f t="shared" si="34"/>
        <v>19</v>
      </c>
      <c r="L255" s="24">
        <f t="shared" si="35"/>
        <v>12</v>
      </c>
      <c r="M255" t="s">
        <v>33</v>
      </c>
      <c r="N255" t="s">
        <v>34</v>
      </c>
      <c r="O255" s="24">
        <v>14</v>
      </c>
      <c r="P255" s="11">
        <v>514.65</v>
      </c>
      <c r="Q255" s="26">
        <f>VLOOKUP('Prepared Sales Dataset'!M255,'Product-cost'!A:B,2,FALSE)</f>
        <v>200</v>
      </c>
      <c r="R255" t="s">
        <v>35</v>
      </c>
      <c r="S255" t="s">
        <v>29</v>
      </c>
      <c r="U255" t="s">
        <v>923</v>
      </c>
      <c r="V255" s="17">
        <f>P255*O255</f>
        <v>7205.0999999999995</v>
      </c>
      <c r="W255" s="19">
        <f>O255*Q255</f>
        <v>2800</v>
      </c>
      <c r="X255" s="13">
        <f>VLOOKUP(R255,Taxrate!A:B,2,FALSE)</f>
        <v>0.2</v>
      </c>
      <c r="Y255" s="15">
        <f t="shared" si="36"/>
        <v>1441.02</v>
      </c>
      <c r="Z255" s="9">
        <f>VLOOKUP(M255,'Discount Rate'!A:B,2,FALSE)</f>
        <v>0.08</v>
      </c>
      <c r="AA255" s="11">
        <f t="shared" si="37"/>
        <v>576.40800000000002</v>
      </c>
      <c r="AB255" s="15">
        <f t="shared" si="38"/>
        <v>5187.6719999999996</v>
      </c>
      <c r="AC255" s="15">
        <f t="shared" si="39"/>
        <v>2387.6719999999996</v>
      </c>
    </row>
    <row r="256" spans="1:29" x14ac:dyDescent="0.35">
      <c r="A256" t="s">
        <v>595</v>
      </c>
      <c r="B256" t="s">
        <v>596</v>
      </c>
      <c r="C256" t="s">
        <v>179</v>
      </c>
      <c r="D256" t="s">
        <v>41</v>
      </c>
      <c r="E256" s="1">
        <v>46336</v>
      </c>
      <c r="F256" s="24">
        <f t="shared" si="30"/>
        <v>2026</v>
      </c>
      <c r="G256" s="24" t="str">
        <f t="shared" si="31"/>
        <v>November</v>
      </c>
      <c r="H256" s="24" t="str">
        <f t="shared" si="32"/>
        <v>Tuesday</v>
      </c>
      <c r="I256" s="22">
        <v>0.57575231481481481</v>
      </c>
      <c r="J256" s="24">
        <f t="shared" si="33"/>
        <v>13</v>
      </c>
      <c r="K256" s="24">
        <f t="shared" si="34"/>
        <v>49</v>
      </c>
      <c r="L256" s="24">
        <f t="shared" si="35"/>
        <v>5</v>
      </c>
      <c r="M256" t="s">
        <v>26</v>
      </c>
      <c r="N256" t="s">
        <v>27</v>
      </c>
      <c r="O256" s="24">
        <v>2</v>
      </c>
      <c r="P256" s="11">
        <v>581.53</v>
      </c>
      <c r="Q256" s="26">
        <f>VLOOKUP('Prepared Sales Dataset'!M256,'Product-cost'!A:B,2,FALSE)</f>
        <v>300</v>
      </c>
      <c r="R256" t="s">
        <v>55</v>
      </c>
      <c r="S256" t="s">
        <v>43</v>
      </c>
      <c r="U256" t="s">
        <v>923</v>
      </c>
      <c r="V256" s="17">
        <f>P256*O256</f>
        <v>1163.06</v>
      </c>
      <c r="W256" s="19">
        <f>O256*Q256</f>
        <v>600</v>
      </c>
      <c r="X256" s="13">
        <f>VLOOKUP(R256,Taxrate!A:B,2,FALSE)</f>
        <v>7.0000000000000007E-2</v>
      </c>
      <c r="Y256" s="15">
        <f t="shared" si="36"/>
        <v>81.414200000000008</v>
      </c>
      <c r="Z256" s="9">
        <f>VLOOKUP(M256,'Discount Rate'!A:B,2,FALSE)</f>
        <v>0.1</v>
      </c>
      <c r="AA256" s="11">
        <f t="shared" si="37"/>
        <v>116.306</v>
      </c>
      <c r="AB256" s="15">
        <f t="shared" si="38"/>
        <v>965.33979999999997</v>
      </c>
      <c r="AC256" s="15">
        <f t="shared" si="39"/>
        <v>365.33979999999997</v>
      </c>
    </row>
    <row r="257" spans="1:29" x14ac:dyDescent="0.35">
      <c r="A257" t="s">
        <v>597</v>
      </c>
      <c r="B257" t="s">
        <v>598</v>
      </c>
      <c r="C257" t="s">
        <v>40</v>
      </c>
      <c r="D257" t="s">
        <v>41</v>
      </c>
      <c r="E257" s="1">
        <v>45322</v>
      </c>
      <c r="F257" s="24">
        <f t="shared" si="30"/>
        <v>2024</v>
      </c>
      <c r="G257" s="24" t="str">
        <f t="shared" si="31"/>
        <v>January</v>
      </c>
      <c r="H257" s="24" t="str">
        <f t="shared" si="32"/>
        <v>Wednesday</v>
      </c>
      <c r="I257" s="22">
        <v>0.80858796296296298</v>
      </c>
      <c r="J257" s="24">
        <f t="shared" si="33"/>
        <v>19</v>
      </c>
      <c r="K257" s="24">
        <f t="shared" si="34"/>
        <v>24</v>
      </c>
      <c r="L257" s="24">
        <f t="shared" si="35"/>
        <v>22</v>
      </c>
      <c r="M257" t="s">
        <v>26</v>
      </c>
      <c r="N257" t="s">
        <v>27</v>
      </c>
      <c r="O257" s="24">
        <v>1</v>
      </c>
      <c r="P257" s="11">
        <v>611.25</v>
      </c>
      <c r="Q257" s="26">
        <f>VLOOKUP('Prepared Sales Dataset'!M257,'Product-cost'!A:B,2,FALSE)</f>
        <v>300</v>
      </c>
      <c r="R257" t="s">
        <v>28</v>
      </c>
      <c r="S257" t="s">
        <v>43</v>
      </c>
      <c r="T257" t="s">
        <v>30</v>
      </c>
      <c r="U257" t="s">
        <v>921</v>
      </c>
      <c r="V257" s="17">
        <f>P257*O257</f>
        <v>611.25</v>
      </c>
      <c r="W257" s="19">
        <f>O257*Q257</f>
        <v>300</v>
      </c>
      <c r="X257" s="13">
        <f>VLOOKUP(R257,Taxrate!A:B,2,FALSE)</f>
        <v>0.1</v>
      </c>
      <c r="Y257" s="15">
        <f t="shared" si="36"/>
        <v>61.125</v>
      </c>
      <c r="Z257" s="9">
        <f>VLOOKUP(M257,'Discount Rate'!A:B,2,FALSE)</f>
        <v>0.1</v>
      </c>
      <c r="AA257" s="11">
        <f t="shared" si="37"/>
        <v>61.125</v>
      </c>
      <c r="AB257" s="15">
        <f t="shared" si="38"/>
        <v>489</v>
      </c>
      <c r="AC257" s="15">
        <f t="shared" si="39"/>
        <v>189</v>
      </c>
    </row>
    <row r="258" spans="1:29" x14ac:dyDescent="0.35">
      <c r="A258" t="s">
        <v>599</v>
      </c>
      <c r="B258" t="s">
        <v>600</v>
      </c>
      <c r="C258" t="s">
        <v>67</v>
      </c>
      <c r="D258" t="s">
        <v>16</v>
      </c>
      <c r="E258" s="1">
        <v>45068</v>
      </c>
      <c r="F258" s="24">
        <f t="shared" ref="F258:F321" si="40">YEAR(E258)</f>
        <v>2023</v>
      </c>
      <c r="G258" s="24" t="str">
        <f t="shared" si="31"/>
        <v>May</v>
      </c>
      <c r="H258" s="24" t="str">
        <f t="shared" si="32"/>
        <v>Monday</v>
      </c>
      <c r="I258" s="22">
        <v>0.63810185185185186</v>
      </c>
      <c r="J258" s="24">
        <f t="shared" si="33"/>
        <v>15</v>
      </c>
      <c r="K258" s="24">
        <f t="shared" si="34"/>
        <v>18</v>
      </c>
      <c r="L258" s="24">
        <f t="shared" si="35"/>
        <v>52</v>
      </c>
      <c r="M258" t="s">
        <v>33</v>
      </c>
      <c r="N258" t="s">
        <v>34</v>
      </c>
      <c r="O258" s="24">
        <v>8</v>
      </c>
      <c r="P258" s="11">
        <v>506</v>
      </c>
      <c r="Q258" s="26">
        <f>VLOOKUP('Prepared Sales Dataset'!M258,'Product-cost'!A:B,2,FALSE)</f>
        <v>200</v>
      </c>
      <c r="R258" t="s">
        <v>59</v>
      </c>
      <c r="S258" t="s">
        <v>36</v>
      </c>
      <c r="T258" t="s">
        <v>30</v>
      </c>
      <c r="U258" t="s">
        <v>921</v>
      </c>
      <c r="V258" s="17">
        <f>P258*O258</f>
        <v>4048</v>
      </c>
      <c r="W258" s="19">
        <f>O258*Q258</f>
        <v>1600</v>
      </c>
      <c r="X258" s="13">
        <f>VLOOKUP(R258,Taxrate!A:B,2,FALSE)</f>
        <v>0.12</v>
      </c>
      <c r="Y258" s="15">
        <f t="shared" si="36"/>
        <v>485.76</v>
      </c>
      <c r="Z258" s="9">
        <f>VLOOKUP(M258,'Discount Rate'!A:B,2,FALSE)</f>
        <v>0.08</v>
      </c>
      <c r="AA258" s="11">
        <f t="shared" si="37"/>
        <v>323.84000000000003</v>
      </c>
      <c r="AB258" s="15">
        <f t="shared" si="38"/>
        <v>3238.4</v>
      </c>
      <c r="AC258" s="15">
        <f t="shared" si="39"/>
        <v>1638.4</v>
      </c>
    </row>
    <row r="259" spans="1:29" x14ac:dyDescent="0.35">
      <c r="A259" t="s">
        <v>601</v>
      </c>
      <c r="B259" t="s">
        <v>602</v>
      </c>
      <c r="C259" t="s">
        <v>67</v>
      </c>
      <c r="D259" t="s">
        <v>16</v>
      </c>
      <c r="E259" s="1">
        <v>45315</v>
      </c>
      <c r="F259" s="24">
        <f t="shared" si="40"/>
        <v>2024</v>
      </c>
      <c r="G259" s="24" t="str">
        <f t="shared" ref="G259:G322" si="41">TEXT(E259,"mmmm")</f>
        <v>January</v>
      </c>
      <c r="H259" s="24" t="str">
        <f t="shared" ref="H259:H322" si="42">TEXT(E259,"dddd")</f>
        <v>Wednesday</v>
      </c>
      <c r="I259" s="22">
        <v>0.85774305555555552</v>
      </c>
      <c r="J259" s="24">
        <f t="shared" ref="J259:J322" si="43">HOUR(I259)</f>
        <v>20</v>
      </c>
      <c r="K259" s="24">
        <f t="shared" ref="K259:K322" si="44">MINUTE(I259)</f>
        <v>35</v>
      </c>
      <c r="L259" s="24">
        <f t="shared" ref="L259:L322" si="45">SECOND(I259)</f>
        <v>9</v>
      </c>
      <c r="M259" t="s">
        <v>49</v>
      </c>
      <c r="N259" t="s">
        <v>50</v>
      </c>
      <c r="O259" s="24">
        <v>7</v>
      </c>
      <c r="P259" s="11">
        <v>188.15</v>
      </c>
      <c r="Q259" s="26">
        <f>VLOOKUP('Prepared Sales Dataset'!M259,'Product-cost'!A:B,2,FALSE)</f>
        <v>150</v>
      </c>
      <c r="R259" t="s">
        <v>59</v>
      </c>
      <c r="S259" t="s">
        <v>20</v>
      </c>
      <c r="T259" t="s">
        <v>125</v>
      </c>
      <c r="U259" t="s">
        <v>921</v>
      </c>
      <c r="V259" s="17">
        <f>P259*O259</f>
        <v>1317.05</v>
      </c>
      <c r="W259" s="19">
        <f>O259*Q259</f>
        <v>1050</v>
      </c>
      <c r="X259" s="13">
        <f>VLOOKUP(R259,Taxrate!A:B,2,FALSE)</f>
        <v>0.12</v>
      </c>
      <c r="Y259" s="15">
        <f t="shared" ref="Y259:Y322" si="46">V259*X259</f>
        <v>158.04599999999999</v>
      </c>
      <c r="Z259" s="9">
        <f>VLOOKUP(M259,'Discount Rate'!A:B,2,FALSE)</f>
        <v>7.0000000000000007E-2</v>
      </c>
      <c r="AA259" s="11">
        <f t="shared" ref="AA259:AA322" si="47">V259*Z259</f>
        <v>92.1935</v>
      </c>
      <c r="AB259" s="15">
        <f t="shared" ref="AB259:AB322" si="48">V259-(Y259+AA259)</f>
        <v>1066.8105</v>
      </c>
      <c r="AC259" s="15">
        <f t="shared" ref="AC259:AC322" si="49">AB259-W259</f>
        <v>16.810500000000047</v>
      </c>
    </row>
    <row r="260" spans="1:29" x14ac:dyDescent="0.35">
      <c r="A260" t="s">
        <v>603</v>
      </c>
      <c r="B260" t="s">
        <v>604</v>
      </c>
      <c r="C260" t="s">
        <v>47</v>
      </c>
      <c r="D260" t="s">
        <v>48</v>
      </c>
      <c r="E260" s="1">
        <v>46241</v>
      </c>
      <c r="F260" s="24">
        <f t="shared" si="40"/>
        <v>2026</v>
      </c>
      <c r="G260" s="24" t="str">
        <f t="shared" si="41"/>
        <v>August</v>
      </c>
      <c r="H260" s="24" t="str">
        <f t="shared" si="42"/>
        <v>Friday</v>
      </c>
      <c r="I260" s="22">
        <v>0.77190972222222221</v>
      </c>
      <c r="J260" s="24">
        <f t="shared" si="43"/>
        <v>18</v>
      </c>
      <c r="K260" s="24">
        <f t="shared" si="44"/>
        <v>31</v>
      </c>
      <c r="L260" s="24">
        <f t="shared" si="45"/>
        <v>33</v>
      </c>
      <c r="M260" t="s">
        <v>49</v>
      </c>
      <c r="N260" t="s">
        <v>50</v>
      </c>
      <c r="O260" s="24">
        <v>5</v>
      </c>
      <c r="P260" s="11">
        <v>506</v>
      </c>
      <c r="Q260" s="26">
        <f>VLOOKUP('Prepared Sales Dataset'!M260,'Product-cost'!A:B,2,FALSE)</f>
        <v>150</v>
      </c>
      <c r="R260" t="s">
        <v>35</v>
      </c>
      <c r="S260" t="s">
        <v>94</v>
      </c>
      <c r="T260" t="s">
        <v>74</v>
      </c>
      <c r="U260" t="s">
        <v>922</v>
      </c>
      <c r="V260" s="17">
        <f>P260*O260</f>
        <v>2530</v>
      </c>
      <c r="W260" s="19">
        <f>O260*Q260</f>
        <v>750</v>
      </c>
      <c r="X260" s="13">
        <f>VLOOKUP(R260,Taxrate!A:B,2,FALSE)</f>
        <v>0.2</v>
      </c>
      <c r="Y260" s="15">
        <f t="shared" si="46"/>
        <v>506</v>
      </c>
      <c r="Z260" s="9">
        <f>VLOOKUP(M260,'Discount Rate'!A:B,2,FALSE)</f>
        <v>7.0000000000000007E-2</v>
      </c>
      <c r="AA260" s="11">
        <f t="shared" si="47"/>
        <v>177.10000000000002</v>
      </c>
      <c r="AB260" s="15">
        <f t="shared" si="48"/>
        <v>1846.9</v>
      </c>
      <c r="AC260" s="15">
        <f t="shared" si="49"/>
        <v>1096.9000000000001</v>
      </c>
    </row>
    <row r="261" spans="1:29" x14ac:dyDescent="0.35">
      <c r="A261" t="s">
        <v>605</v>
      </c>
      <c r="B261" t="s">
        <v>606</v>
      </c>
      <c r="C261" t="s">
        <v>47</v>
      </c>
      <c r="D261" t="s">
        <v>48</v>
      </c>
      <c r="E261" s="1">
        <v>46069</v>
      </c>
      <c r="F261" s="24">
        <f t="shared" si="40"/>
        <v>2026</v>
      </c>
      <c r="G261" s="24" t="str">
        <f t="shared" si="41"/>
        <v>February</v>
      </c>
      <c r="H261" s="24" t="str">
        <f t="shared" si="42"/>
        <v>Monday</v>
      </c>
      <c r="I261" s="22">
        <v>0.89155092592592589</v>
      </c>
      <c r="J261" s="24">
        <f t="shared" si="43"/>
        <v>21</v>
      </c>
      <c r="K261" s="24">
        <f t="shared" si="44"/>
        <v>23</v>
      </c>
      <c r="L261" s="24">
        <f t="shared" si="45"/>
        <v>50</v>
      </c>
      <c r="M261" t="s">
        <v>17</v>
      </c>
      <c r="N261" t="s">
        <v>18</v>
      </c>
      <c r="O261" s="24">
        <v>5</v>
      </c>
      <c r="P261" s="11">
        <v>1167.1500000000001</v>
      </c>
      <c r="Q261" s="26">
        <f>VLOOKUP('Prepared Sales Dataset'!M261,'Product-cost'!A:B,2,FALSE)</f>
        <v>600</v>
      </c>
      <c r="R261" t="s">
        <v>28</v>
      </c>
      <c r="S261" t="s">
        <v>51</v>
      </c>
      <c r="T261" t="s">
        <v>37</v>
      </c>
      <c r="U261" t="s">
        <v>921</v>
      </c>
      <c r="V261" s="17">
        <f>P261*O261</f>
        <v>5835.75</v>
      </c>
      <c r="W261" s="19">
        <f>O261*Q261</f>
        <v>3000</v>
      </c>
      <c r="X261" s="13">
        <f>VLOOKUP(R261,Taxrate!A:B,2,FALSE)</f>
        <v>0.1</v>
      </c>
      <c r="Y261" s="15">
        <f t="shared" si="46"/>
        <v>583.57500000000005</v>
      </c>
      <c r="Z261" s="9">
        <f>VLOOKUP(M261,'Discount Rate'!A:B,2,FALSE)</f>
        <v>0.05</v>
      </c>
      <c r="AA261" s="11">
        <f t="shared" si="47"/>
        <v>291.78750000000002</v>
      </c>
      <c r="AB261" s="15">
        <f t="shared" si="48"/>
        <v>4960.3874999999998</v>
      </c>
      <c r="AC261" s="15">
        <f t="shared" si="49"/>
        <v>1960.3874999999998</v>
      </c>
    </row>
    <row r="262" spans="1:29" x14ac:dyDescent="0.35">
      <c r="A262" t="s">
        <v>607</v>
      </c>
      <c r="B262" t="s">
        <v>570</v>
      </c>
      <c r="C262" t="s">
        <v>24</v>
      </c>
      <c r="D262" t="s">
        <v>25</v>
      </c>
      <c r="E262" s="1">
        <v>46070</v>
      </c>
      <c r="F262" s="24">
        <f t="shared" si="40"/>
        <v>2026</v>
      </c>
      <c r="G262" s="24" t="str">
        <f t="shared" si="41"/>
        <v>February</v>
      </c>
      <c r="H262" s="24" t="str">
        <f t="shared" si="42"/>
        <v>Tuesday</v>
      </c>
      <c r="I262" s="22">
        <v>0.79640046296296296</v>
      </c>
      <c r="J262" s="24">
        <f t="shared" si="43"/>
        <v>19</v>
      </c>
      <c r="K262" s="24">
        <f t="shared" si="44"/>
        <v>6</v>
      </c>
      <c r="L262" s="24">
        <f t="shared" si="45"/>
        <v>49</v>
      </c>
      <c r="M262" t="s">
        <v>49</v>
      </c>
      <c r="N262" t="s">
        <v>50</v>
      </c>
      <c r="O262" s="24">
        <v>8</v>
      </c>
      <c r="P262" s="11">
        <v>222.98</v>
      </c>
      <c r="Q262" s="26">
        <f>VLOOKUP('Prepared Sales Dataset'!M262,'Product-cost'!A:B,2,FALSE)</f>
        <v>150</v>
      </c>
      <c r="R262" t="s">
        <v>55</v>
      </c>
      <c r="S262" t="s">
        <v>56</v>
      </c>
      <c r="T262" t="s">
        <v>133</v>
      </c>
      <c r="U262" t="s">
        <v>921</v>
      </c>
      <c r="V262" s="17">
        <f>P262*O262</f>
        <v>1783.84</v>
      </c>
      <c r="W262" s="19">
        <f>O262*Q262</f>
        <v>1200</v>
      </c>
      <c r="X262" s="13">
        <f>VLOOKUP(R262,Taxrate!A:B,2,FALSE)</f>
        <v>7.0000000000000007E-2</v>
      </c>
      <c r="Y262" s="15">
        <f t="shared" si="46"/>
        <v>124.86880000000001</v>
      </c>
      <c r="Z262" s="9">
        <f>VLOOKUP(M262,'Discount Rate'!A:B,2,FALSE)</f>
        <v>7.0000000000000007E-2</v>
      </c>
      <c r="AA262" s="11">
        <f t="shared" si="47"/>
        <v>124.86880000000001</v>
      </c>
      <c r="AB262" s="15">
        <f t="shared" si="48"/>
        <v>1534.1024</v>
      </c>
      <c r="AC262" s="15">
        <f t="shared" si="49"/>
        <v>334.10239999999999</v>
      </c>
    </row>
    <row r="263" spans="1:29" x14ac:dyDescent="0.35">
      <c r="A263" t="s">
        <v>608</v>
      </c>
      <c r="B263" t="s">
        <v>609</v>
      </c>
      <c r="C263" t="s">
        <v>88</v>
      </c>
      <c r="D263" t="s">
        <v>41</v>
      </c>
      <c r="E263" s="1">
        <v>45591</v>
      </c>
      <c r="F263" s="24">
        <f t="shared" si="40"/>
        <v>2024</v>
      </c>
      <c r="G263" s="24" t="str">
        <f t="shared" si="41"/>
        <v>October</v>
      </c>
      <c r="H263" s="24" t="str">
        <f t="shared" si="42"/>
        <v>Saturday</v>
      </c>
      <c r="I263" s="22">
        <v>0.61712962962962958</v>
      </c>
      <c r="J263" s="24">
        <f t="shared" si="43"/>
        <v>14</v>
      </c>
      <c r="K263" s="24">
        <f t="shared" si="44"/>
        <v>48</v>
      </c>
      <c r="L263" s="24">
        <f t="shared" si="45"/>
        <v>40</v>
      </c>
      <c r="M263" t="s">
        <v>78</v>
      </c>
      <c r="N263" t="s">
        <v>79</v>
      </c>
      <c r="O263" s="24">
        <v>6</v>
      </c>
      <c r="P263" s="11">
        <v>162.24</v>
      </c>
      <c r="Q263" s="26">
        <f>VLOOKUP('Prepared Sales Dataset'!M263,'Product-cost'!A:B,2,FALSE)</f>
        <v>50</v>
      </c>
      <c r="R263" t="s">
        <v>35</v>
      </c>
      <c r="S263" t="s">
        <v>43</v>
      </c>
      <c r="T263" t="s">
        <v>30</v>
      </c>
      <c r="U263" t="s">
        <v>921</v>
      </c>
      <c r="V263" s="17">
        <f>P263*O263</f>
        <v>973.44</v>
      </c>
      <c r="W263" s="19">
        <f>O263*Q263</f>
        <v>300</v>
      </c>
      <c r="X263" s="13">
        <f>VLOOKUP(R263,Taxrate!A:B,2,FALSE)</f>
        <v>0.2</v>
      </c>
      <c r="Y263" s="15">
        <f t="shared" si="46"/>
        <v>194.68800000000002</v>
      </c>
      <c r="Z263" s="9">
        <f>VLOOKUP(M263,'Discount Rate'!A:B,2,FALSE)</f>
        <v>0.03</v>
      </c>
      <c r="AA263" s="11">
        <f t="shared" si="47"/>
        <v>29.203199999999999</v>
      </c>
      <c r="AB263" s="15">
        <f t="shared" si="48"/>
        <v>749.54880000000003</v>
      </c>
      <c r="AC263" s="15">
        <f t="shared" si="49"/>
        <v>449.54880000000003</v>
      </c>
    </row>
    <row r="264" spans="1:29" x14ac:dyDescent="0.35">
      <c r="A264" t="s">
        <v>610</v>
      </c>
      <c r="B264" t="s">
        <v>611</v>
      </c>
      <c r="C264" t="s">
        <v>47</v>
      </c>
      <c r="D264" t="s">
        <v>48</v>
      </c>
      <c r="E264" s="1">
        <v>46147</v>
      </c>
      <c r="F264" s="24">
        <f t="shared" si="40"/>
        <v>2026</v>
      </c>
      <c r="G264" s="24" t="str">
        <f t="shared" si="41"/>
        <v>May</v>
      </c>
      <c r="H264" s="24" t="str">
        <f t="shared" si="42"/>
        <v>Tuesday</v>
      </c>
      <c r="I264" s="22">
        <v>0.67287037037037034</v>
      </c>
      <c r="J264" s="24">
        <f t="shared" si="43"/>
        <v>16</v>
      </c>
      <c r="K264" s="24">
        <f t="shared" si="44"/>
        <v>8</v>
      </c>
      <c r="L264" s="24">
        <f t="shared" si="45"/>
        <v>56</v>
      </c>
      <c r="M264" t="s">
        <v>33</v>
      </c>
      <c r="N264" t="s">
        <v>34</v>
      </c>
      <c r="O264" s="24">
        <v>8</v>
      </c>
      <c r="P264" s="11">
        <v>362.96</v>
      </c>
      <c r="Q264" s="26">
        <f>VLOOKUP('Prepared Sales Dataset'!M264,'Product-cost'!A:B,2,FALSE)</f>
        <v>200</v>
      </c>
      <c r="R264" t="s">
        <v>28</v>
      </c>
      <c r="S264" t="s">
        <v>51</v>
      </c>
      <c r="T264" t="s">
        <v>166</v>
      </c>
      <c r="U264" t="s">
        <v>921</v>
      </c>
      <c r="V264" s="17">
        <f>P264*O264</f>
        <v>2903.68</v>
      </c>
      <c r="W264" s="19">
        <f>O264*Q264</f>
        <v>1600</v>
      </c>
      <c r="X264" s="13">
        <f>VLOOKUP(R264,Taxrate!A:B,2,FALSE)</f>
        <v>0.1</v>
      </c>
      <c r="Y264" s="15">
        <f t="shared" si="46"/>
        <v>290.36799999999999</v>
      </c>
      <c r="Z264" s="9">
        <f>VLOOKUP(M264,'Discount Rate'!A:B,2,FALSE)</f>
        <v>0.08</v>
      </c>
      <c r="AA264" s="11">
        <f t="shared" si="47"/>
        <v>232.2944</v>
      </c>
      <c r="AB264" s="15">
        <f t="shared" si="48"/>
        <v>2381.0176000000001</v>
      </c>
      <c r="AC264" s="15">
        <f t="shared" si="49"/>
        <v>781.01760000000013</v>
      </c>
    </row>
    <row r="265" spans="1:29" x14ac:dyDescent="0.35">
      <c r="A265" t="s">
        <v>612</v>
      </c>
      <c r="B265" t="s">
        <v>613</v>
      </c>
      <c r="C265" t="s">
        <v>139</v>
      </c>
      <c r="D265" t="s">
        <v>25</v>
      </c>
      <c r="E265" s="1">
        <v>45004</v>
      </c>
      <c r="F265" s="24">
        <f t="shared" si="40"/>
        <v>2023</v>
      </c>
      <c r="G265" s="24" t="str">
        <f t="shared" si="41"/>
        <v>March</v>
      </c>
      <c r="H265" s="24" t="str">
        <f t="shared" si="42"/>
        <v>Sunday</v>
      </c>
      <c r="I265" s="22">
        <v>0.54800925925925925</v>
      </c>
      <c r="J265" s="24">
        <f t="shared" si="43"/>
        <v>13</v>
      </c>
      <c r="K265" s="24">
        <f t="shared" si="44"/>
        <v>9</v>
      </c>
      <c r="L265" s="24">
        <f t="shared" si="45"/>
        <v>8</v>
      </c>
      <c r="M265" t="s">
        <v>33</v>
      </c>
      <c r="N265" t="s">
        <v>34</v>
      </c>
      <c r="O265" s="24">
        <v>10</v>
      </c>
      <c r="P265" s="11">
        <v>371.25</v>
      </c>
      <c r="Q265" s="26">
        <f>VLOOKUP('Prepared Sales Dataset'!M265,'Product-cost'!A:B,2,FALSE)</f>
        <v>200</v>
      </c>
      <c r="R265" t="s">
        <v>28</v>
      </c>
      <c r="S265" t="s">
        <v>56</v>
      </c>
      <c r="T265" t="s">
        <v>249</v>
      </c>
      <c r="U265" t="s">
        <v>921</v>
      </c>
      <c r="V265" s="17">
        <f>P265*O265</f>
        <v>3712.5</v>
      </c>
      <c r="W265" s="19">
        <f>O265*Q265</f>
        <v>2000</v>
      </c>
      <c r="X265" s="13">
        <f>VLOOKUP(R265,Taxrate!A:B,2,FALSE)</f>
        <v>0.1</v>
      </c>
      <c r="Y265" s="15">
        <f t="shared" si="46"/>
        <v>371.25</v>
      </c>
      <c r="Z265" s="9">
        <f>VLOOKUP(M265,'Discount Rate'!A:B,2,FALSE)</f>
        <v>0.08</v>
      </c>
      <c r="AA265" s="11">
        <f t="shared" si="47"/>
        <v>297</v>
      </c>
      <c r="AB265" s="15">
        <f t="shared" si="48"/>
        <v>3044.25</v>
      </c>
      <c r="AC265" s="15">
        <f t="shared" si="49"/>
        <v>1044.25</v>
      </c>
    </row>
    <row r="266" spans="1:29" x14ac:dyDescent="0.35">
      <c r="A266" t="s">
        <v>614</v>
      </c>
      <c r="B266" t="s">
        <v>615</v>
      </c>
      <c r="C266" t="s">
        <v>179</v>
      </c>
      <c r="D266" t="s">
        <v>41</v>
      </c>
      <c r="E266" s="1">
        <v>46146</v>
      </c>
      <c r="F266" s="24">
        <f t="shared" si="40"/>
        <v>2026</v>
      </c>
      <c r="G266" s="24" t="str">
        <f t="shared" si="41"/>
        <v>May</v>
      </c>
      <c r="H266" s="24" t="str">
        <f t="shared" si="42"/>
        <v>Monday</v>
      </c>
      <c r="I266" s="22">
        <v>0.36586805555555557</v>
      </c>
      <c r="J266" s="24">
        <f t="shared" si="43"/>
        <v>8</v>
      </c>
      <c r="K266" s="24">
        <f t="shared" si="44"/>
        <v>46</v>
      </c>
      <c r="L266" s="24">
        <f t="shared" si="45"/>
        <v>51</v>
      </c>
      <c r="M266" t="s">
        <v>49</v>
      </c>
      <c r="N266" t="s">
        <v>50</v>
      </c>
      <c r="O266" s="24">
        <v>13</v>
      </c>
      <c r="P266" s="11">
        <v>506</v>
      </c>
      <c r="Q266" s="26">
        <f>VLOOKUP('Prepared Sales Dataset'!M266,'Product-cost'!A:B,2,FALSE)</f>
        <v>150</v>
      </c>
      <c r="R266" t="s">
        <v>28</v>
      </c>
      <c r="S266" t="s">
        <v>90</v>
      </c>
      <c r="T266" t="s">
        <v>37</v>
      </c>
      <c r="U266" t="s">
        <v>921</v>
      </c>
      <c r="V266" s="17">
        <f>P266*O266</f>
        <v>6578</v>
      </c>
      <c r="W266" s="19">
        <f>O266*Q266</f>
        <v>1950</v>
      </c>
      <c r="X266" s="13">
        <f>VLOOKUP(R266,Taxrate!A:B,2,FALSE)</f>
        <v>0.1</v>
      </c>
      <c r="Y266" s="15">
        <f t="shared" si="46"/>
        <v>657.80000000000007</v>
      </c>
      <c r="Z266" s="9">
        <f>VLOOKUP(M266,'Discount Rate'!A:B,2,FALSE)</f>
        <v>7.0000000000000007E-2</v>
      </c>
      <c r="AA266" s="11">
        <f t="shared" si="47"/>
        <v>460.46000000000004</v>
      </c>
      <c r="AB266" s="15">
        <f t="shared" si="48"/>
        <v>5459.74</v>
      </c>
      <c r="AC266" s="15">
        <f t="shared" si="49"/>
        <v>3509.74</v>
      </c>
    </row>
    <row r="267" spans="1:29" x14ac:dyDescent="0.35">
      <c r="A267" t="s">
        <v>616</v>
      </c>
      <c r="B267" t="s">
        <v>617</v>
      </c>
      <c r="C267" t="s">
        <v>407</v>
      </c>
      <c r="D267" t="s">
        <v>48</v>
      </c>
      <c r="E267" s="1">
        <v>46221</v>
      </c>
      <c r="F267" s="24">
        <f t="shared" si="40"/>
        <v>2026</v>
      </c>
      <c r="G267" s="24" t="str">
        <f t="shared" si="41"/>
        <v>July</v>
      </c>
      <c r="H267" s="24" t="str">
        <f t="shared" si="42"/>
        <v>Saturday</v>
      </c>
      <c r="I267" s="22">
        <v>0.34690972222222222</v>
      </c>
      <c r="J267" s="24">
        <f t="shared" si="43"/>
        <v>8</v>
      </c>
      <c r="K267" s="24">
        <f t="shared" si="44"/>
        <v>19</v>
      </c>
      <c r="L267" s="24">
        <f t="shared" si="45"/>
        <v>33</v>
      </c>
      <c r="M267" t="s">
        <v>17</v>
      </c>
      <c r="N267" t="s">
        <v>18</v>
      </c>
      <c r="O267" s="24">
        <v>10</v>
      </c>
      <c r="P267" s="11">
        <v>1051.2</v>
      </c>
      <c r="Q267" s="26">
        <f>VLOOKUP('Prepared Sales Dataset'!M267,'Product-cost'!A:B,2,FALSE)</f>
        <v>600</v>
      </c>
      <c r="R267" t="s">
        <v>35</v>
      </c>
      <c r="S267" t="s">
        <v>94</v>
      </c>
      <c r="T267" t="s">
        <v>95</v>
      </c>
      <c r="U267" t="s">
        <v>921</v>
      </c>
      <c r="V267" s="17">
        <f>P267*O267</f>
        <v>10512</v>
      </c>
      <c r="W267" s="19">
        <f>O267*Q267</f>
        <v>6000</v>
      </c>
      <c r="X267" s="13">
        <f>VLOOKUP(R267,Taxrate!A:B,2,FALSE)</f>
        <v>0.2</v>
      </c>
      <c r="Y267" s="15">
        <f t="shared" si="46"/>
        <v>2102.4</v>
      </c>
      <c r="Z267" s="9">
        <f>VLOOKUP(M267,'Discount Rate'!A:B,2,FALSE)</f>
        <v>0.05</v>
      </c>
      <c r="AA267" s="11">
        <f t="shared" si="47"/>
        <v>525.6</v>
      </c>
      <c r="AB267" s="15">
        <f t="shared" si="48"/>
        <v>7884</v>
      </c>
      <c r="AC267" s="15">
        <f t="shared" si="49"/>
        <v>1884</v>
      </c>
    </row>
    <row r="268" spans="1:29" x14ac:dyDescent="0.35">
      <c r="A268" t="s">
        <v>618</v>
      </c>
      <c r="B268" t="s">
        <v>619</v>
      </c>
      <c r="C268" t="s">
        <v>128</v>
      </c>
      <c r="D268" t="s">
        <v>63</v>
      </c>
      <c r="E268" s="1">
        <v>45230</v>
      </c>
      <c r="F268" s="24">
        <f t="shared" si="40"/>
        <v>2023</v>
      </c>
      <c r="G268" s="24" t="str">
        <f t="shared" si="41"/>
        <v>October</v>
      </c>
      <c r="H268" s="24" t="str">
        <f t="shared" si="42"/>
        <v>Tuesday</v>
      </c>
      <c r="I268" s="22">
        <v>0.54548611111111112</v>
      </c>
      <c r="J268" s="24">
        <f t="shared" si="43"/>
        <v>13</v>
      </c>
      <c r="K268" s="24">
        <f t="shared" si="44"/>
        <v>5</v>
      </c>
      <c r="L268" s="24">
        <f t="shared" si="45"/>
        <v>30</v>
      </c>
      <c r="M268" t="s">
        <v>49</v>
      </c>
      <c r="N268" t="s">
        <v>50</v>
      </c>
      <c r="O268" s="24">
        <v>9</v>
      </c>
      <c r="P268" s="11">
        <v>185.36</v>
      </c>
      <c r="Q268" s="26">
        <f>VLOOKUP('Prepared Sales Dataset'!M268,'Product-cost'!A:B,2,FALSE)</f>
        <v>150</v>
      </c>
      <c r="R268" t="s">
        <v>59</v>
      </c>
      <c r="S268" t="s">
        <v>64</v>
      </c>
      <c r="T268" t="s">
        <v>103</v>
      </c>
      <c r="U268" t="s">
        <v>921</v>
      </c>
      <c r="V268" s="17">
        <f>P268*O268</f>
        <v>1668.2400000000002</v>
      </c>
      <c r="W268" s="19">
        <f>O268*Q268</f>
        <v>1350</v>
      </c>
      <c r="X268" s="13">
        <f>VLOOKUP(R268,Taxrate!A:B,2,FALSE)</f>
        <v>0.12</v>
      </c>
      <c r="Y268" s="15">
        <f t="shared" si="46"/>
        <v>200.18880000000001</v>
      </c>
      <c r="Z268" s="9">
        <f>VLOOKUP(M268,'Discount Rate'!A:B,2,FALSE)</f>
        <v>7.0000000000000007E-2</v>
      </c>
      <c r="AA268" s="11">
        <f t="shared" si="47"/>
        <v>116.77680000000002</v>
      </c>
      <c r="AB268" s="15">
        <f t="shared" si="48"/>
        <v>1351.2744000000002</v>
      </c>
      <c r="AC268" s="15">
        <f t="shared" si="49"/>
        <v>1.2744000000002416</v>
      </c>
    </row>
    <row r="269" spans="1:29" x14ac:dyDescent="0.35">
      <c r="A269" t="s">
        <v>620</v>
      </c>
      <c r="B269" t="s">
        <v>621</v>
      </c>
      <c r="C269" t="s">
        <v>67</v>
      </c>
      <c r="D269" t="s">
        <v>16</v>
      </c>
      <c r="E269" s="1">
        <v>45423</v>
      </c>
      <c r="F269" s="24">
        <f t="shared" si="40"/>
        <v>2024</v>
      </c>
      <c r="G269" s="24" t="str">
        <f t="shared" si="41"/>
        <v>May</v>
      </c>
      <c r="H269" s="24" t="str">
        <f t="shared" si="42"/>
        <v>Saturday</v>
      </c>
      <c r="I269" s="22">
        <v>0.53434027777777782</v>
      </c>
      <c r="J269" s="24">
        <f t="shared" si="43"/>
        <v>12</v>
      </c>
      <c r="K269" s="24">
        <f t="shared" si="44"/>
        <v>49</v>
      </c>
      <c r="L269" s="24">
        <f t="shared" si="45"/>
        <v>27</v>
      </c>
      <c r="M269" t="s">
        <v>33</v>
      </c>
      <c r="N269" t="s">
        <v>34</v>
      </c>
      <c r="O269" s="24">
        <v>10</v>
      </c>
      <c r="P269" s="11">
        <v>506</v>
      </c>
      <c r="Q269" s="26">
        <f>VLOOKUP('Prepared Sales Dataset'!M269,'Product-cost'!A:B,2,FALSE)</f>
        <v>200</v>
      </c>
      <c r="R269" t="s">
        <v>42</v>
      </c>
      <c r="S269" t="s">
        <v>36</v>
      </c>
      <c r="T269" t="s">
        <v>21</v>
      </c>
      <c r="U269" t="s">
        <v>921</v>
      </c>
      <c r="V269" s="17">
        <f>P269*O269</f>
        <v>5060</v>
      </c>
      <c r="W269" s="19">
        <f>O269*Q269</f>
        <v>2000</v>
      </c>
      <c r="X269" s="13">
        <f>VLOOKUP(R269,Taxrate!A:B,2,FALSE)</f>
        <v>0.15</v>
      </c>
      <c r="Y269" s="15">
        <f t="shared" si="46"/>
        <v>759</v>
      </c>
      <c r="Z269" s="9">
        <f>VLOOKUP(M269,'Discount Rate'!A:B,2,FALSE)</f>
        <v>0.08</v>
      </c>
      <c r="AA269" s="11">
        <f t="shared" si="47"/>
        <v>404.8</v>
      </c>
      <c r="AB269" s="15">
        <f t="shared" si="48"/>
        <v>3896.2</v>
      </c>
      <c r="AC269" s="15">
        <f t="shared" si="49"/>
        <v>1896.1999999999998</v>
      </c>
    </row>
    <row r="270" spans="1:29" x14ac:dyDescent="0.35">
      <c r="A270" t="s">
        <v>622</v>
      </c>
      <c r="B270" t="s">
        <v>623</v>
      </c>
      <c r="C270" t="s">
        <v>150</v>
      </c>
      <c r="D270" t="s">
        <v>25</v>
      </c>
      <c r="E270" s="1">
        <v>45829</v>
      </c>
      <c r="F270" s="24">
        <f t="shared" si="40"/>
        <v>2025</v>
      </c>
      <c r="G270" s="24" t="str">
        <f t="shared" si="41"/>
        <v>June</v>
      </c>
      <c r="H270" s="24" t="str">
        <f t="shared" si="42"/>
        <v>Saturday</v>
      </c>
      <c r="I270" s="22">
        <v>0.8848611111111111</v>
      </c>
      <c r="J270" s="24">
        <f t="shared" si="43"/>
        <v>21</v>
      </c>
      <c r="K270" s="24">
        <f t="shared" si="44"/>
        <v>14</v>
      </c>
      <c r="L270" s="24">
        <f t="shared" si="45"/>
        <v>12</v>
      </c>
      <c r="M270" t="s">
        <v>33</v>
      </c>
      <c r="N270" t="s">
        <v>34</v>
      </c>
      <c r="O270" s="24">
        <v>12</v>
      </c>
      <c r="P270" s="11">
        <v>342.47</v>
      </c>
      <c r="Q270" s="26">
        <f>VLOOKUP('Prepared Sales Dataset'!M270,'Product-cost'!A:B,2,FALSE)</f>
        <v>200</v>
      </c>
      <c r="R270" t="s">
        <v>55</v>
      </c>
      <c r="S270" t="s">
        <v>155</v>
      </c>
      <c r="U270" t="s">
        <v>923</v>
      </c>
      <c r="V270" s="17">
        <f>P270*O270</f>
        <v>4109.6400000000003</v>
      </c>
      <c r="W270" s="19">
        <f>O270*Q270</f>
        <v>2400</v>
      </c>
      <c r="X270" s="13">
        <f>VLOOKUP(R270,Taxrate!A:B,2,FALSE)</f>
        <v>7.0000000000000007E-2</v>
      </c>
      <c r="Y270" s="15">
        <f t="shared" si="46"/>
        <v>287.67480000000006</v>
      </c>
      <c r="Z270" s="9">
        <f>VLOOKUP(M270,'Discount Rate'!A:B,2,FALSE)</f>
        <v>0.08</v>
      </c>
      <c r="AA270" s="11">
        <f t="shared" si="47"/>
        <v>328.77120000000002</v>
      </c>
      <c r="AB270" s="15">
        <f t="shared" si="48"/>
        <v>3493.1940000000004</v>
      </c>
      <c r="AC270" s="15">
        <f t="shared" si="49"/>
        <v>1093.1940000000004</v>
      </c>
    </row>
    <row r="271" spans="1:29" x14ac:dyDescent="0.35">
      <c r="A271" t="s">
        <v>624</v>
      </c>
      <c r="B271" t="s">
        <v>625</v>
      </c>
      <c r="C271" t="s">
        <v>77</v>
      </c>
      <c r="D271" t="s">
        <v>63</v>
      </c>
      <c r="E271" s="1">
        <v>45606</v>
      </c>
      <c r="F271" s="24">
        <f t="shared" si="40"/>
        <v>2024</v>
      </c>
      <c r="G271" s="24" t="str">
        <f t="shared" si="41"/>
        <v>November</v>
      </c>
      <c r="H271" s="24" t="str">
        <f t="shared" si="42"/>
        <v>Sunday</v>
      </c>
      <c r="I271" s="22">
        <v>0.81542824074074072</v>
      </c>
      <c r="J271" s="24">
        <f t="shared" si="43"/>
        <v>19</v>
      </c>
      <c r="K271" s="24">
        <f t="shared" si="44"/>
        <v>34</v>
      </c>
      <c r="L271" s="24">
        <f t="shared" si="45"/>
        <v>13</v>
      </c>
      <c r="M271" t="s">
        <v>26</v>
      </c>
      <c r="N271" t="s">
        <v>27</v>
      </c>
      <c r="O271" s="24">
        <v>13</v>
      </c>
      <c r="P271" s="11">
        <v>624.91</v>
      </c>
      <c r="Q271" s="26">
        <f>VLOOKUP('Prepared Sales Dataset'!M271,'Product-cost'!A:B,2,FALSE)</f>
        <v>300</v>
      </c>
      <c r="R271" t="s">
        <v>35</v>
      </c>
      <c r="S271" t="s">
        <v>80</v>
      </c>
      <c r="U271" t="s">
        <v>923</v>
      </c>
      <c r="V271" s="17">
        <f>P271*O271</f>
        <v>8123.83</v>
      </c>
      <c r="W271" s="19">
        <f>O271*Q271</f>
        <v>3900</v>
      </c>
      <c r="X271" s="13">
        <f>VLOOKUP(R271,Taxrate!A:B,2,FALSE)</f>
        <v>0.2</v>
      </c>
      <c r="Y271" s="15">
        <f t="shared" si="46"/>
        <v>1624.7660000000001</v>
      </c>
      <c r="Z271" s="9">
        <f>VLOOKUP(M271,'Discount Rate'!A:B,2,FALSE)</f>
        <v>0.1</v>
      </c>
      <c r="AA271" s="11">
        <f t="shared" si="47"/>
        <v>812.38300000000004</v>
      </c>
      <c r="AB271" s="15">
        <f t="shared" si="48"/>
        <v>5686.6809999999996</v>
      </c>
      <c r="AC271" s="15">
        <f t="shared" si="49"/>
        <v>1786.6809999999996</v>
      </c>
    </row>
    <row r="272" spans="1:29" x14ac:dyDescent="0.35">
      <c r="A272" t="s">
        <v>626</v>
      </c>
      <c r="B272" t="s">
        <v>627</v>
      </c>
      <c r="C272" t="s">
        <v>98</v>
      </c>
      <c r="D272" t="s">
        <v>99</v>
      </c>
      <c r="E272" s="1">
        <v>45035</v>
      </c>
      <c r="F272" s="24">
        <f t="shared" si="40"/>
        <v>2023</v>
      </c>
      <c r="G272" s="24" t="str">
        <f t="shared" si="41"/>
        <v>April</v>
      </c>
      <c r="H272" s="24" t="str">
        <f t="shared" si="42"/>
        <v>Wednesday</v>
      </c>
      <c r="I272" s="22">
        <v>0.75004629629629627</v>
      </c>
      <c r="J272" s="24">
        <f t="shared" si="43"/>
        <v>18</v>
      </c>
      <c r="K272" s="24">
        <f t="shared" si="44"/>
        <v>0</v>
      </c>
      <c r="L272" s="24">
        <f t="shared" si="45"/>
        <v>4</v>
      </c>
      <c r="M272" t="s">
        <v>78</v>
      </c>
      <c r="N272" t="s">
        <v>79</v>
      </c>
      <c r="O272" s="24">
        <v>11</v>
      </c>
      <c r="P272" s="11">
        <v>169.51</v>
      </c>
      <c r="Q272" s="26">
        <f>VLOOKUP('Prepared Sales Dataset'!M272,'Product-cost'!A:B,2,FALSE)</f>
        <v>50</v>
      </c>
      <c r="R272" t="s">
        <v>55</v>
      </c>
      <c r="S272" t="s">
        <v>122</v>
      </c>
      <c r="T272" t="s">
        <v>44</v>
      </c>
      <c r="U272" t="s">
        <v>921</v>
      </c>
      <c r="V272" s="17">
        <f>P272*O272</f>
        <v>1864.61</v>
      </c>
      <c r="W272" s="19">
        <f>O272*Q272</f>
        <v>550</v>
      </c>
      <c r="X272" s="13">
        <f>VLOOKUP(R272,Taxrate!A:B,2,FALSE)</f>
        <v>7.0000000000000007E-2</v>
      </c>
      <c r="Y272" s="15">
        <f t="shared" si="46"/>
        <v>130.52270000000001</v>
      </c>
      <c r="Z272" s="9">
        <f>VLOOKUP(M272,'Discount Rate'!A:B,2,FALSE)</f>
        <v>0.03</v>
      </c>
      <c r="AA272" s="11">
        <f t="shared" si="47"/>
        <v>55.938299999999998</v>
      </c>
      <c r="AB272" s="15">
        <f t="shared" si="48"/>
        <v>1678.1489999999999</v>
      </c>
      <c r="AC272" s="15">
        <f t="shared" si="49"/>
        <v>1128.1489999999999</v>
      </c>
    </row>
    <row r="273" spans="1:29" x14ac:dyDescent="0.35">
      <c r="A273" t="s">
        <v>628</v>
      </c>
      <c r="B273" t="s">
        <v>629</v>
      </c>
      <c r="C273" t="s">
        <v>77</v>
      </c>
      <c r="D273" t="s">
        <v>63</v>
      </c>
      <c r="E273" s="1">
        <v>45308</v>
      </c>
      <c r="F273" s="24">
        <f t="shared" si="40"/>
        <v>2024</v>
      </c>
      <c r="G273" s="24" t="str">
        <f t="shared" si="41"/>
        <v>January</v>
      </c>
      <c r="H273" s="24" t="str">
        <f t="shared" si="42"/>
        <v>Wednesday</v>
      </c>
      <c r="I273" s="22">
        <v>0.68721064814814814</v>
      </c>
      <c r="J273" s="24">
        <f t="shared" si="43"/>
        <v>16</v>
      </c>
      <c r="K273" s="24">
        <f t="shared" si="44"/>
        <v>29</v>
      </c>
      <c r="L273" s="24">
        <f t="shared" si="45"/>
        <v>35</v>
      </c>
      <c r="M273" t="s">
        <v>17</v>
      </c>
      <c r="N273" t="s">
        <v>18</v>
      </c>
      <c r="O273" s="24">
        <v>8</v>
      </c>
      <c r="P273" s="11">
        <v>952.46</v>
      </c>
      <c r="Q273" s="26">
        <f>VLOOKUP('Prepared Sales Dataset'!M273,'Product-cost'!A:B,2,FALSE)</f>
        <v>600</v>
      </c>
      <c r="R273" t="s">
        <v>42</v>
      </c>
      <c r="S273" t="s">
        <v>80</v>
      </c>
      <c r="T273" t="s">
        <v>30</v>
      </c>
      <c r="U273" t="s">
        <v>921</v>
      </c>
      <c r="V273" s="17">
        <f>P273*O273</f>
        <v>7619.68</v>
      </c>
      <c r="W273" s="19">
        <f>O273*Q273</f>
        <v>4800</v>
      </c>
      <c r="X273" s="13">
        <f>VLOOKUP(R273,Taxrate!A:B,2,FALSE)</f>
        <v>0.15</v>
      </c>
      <c r="Y273" s="15">
        <f t="shared" si="46"/>
        <v>1142.952</v>
      </c>
      <c r="Z273" s="9">
        <f>VLOOKUP(M273,'Discount Rate'!A:B,2,FALSE)</f>
        <v>0.05</v>
      </c>
      <c r="AA273" s="11">
        <f t="shared" si="47"/>
        <v>380.98400000000004</v>
      </c>
      <c r="AB273" s="15">
        <f t="shared" si="48"/>
        <v>6095.7440000000006</v>
      </c>
      <c r="AC273" s="15">
        <f t="shared" si="49"/>
        <v>1295.7440000000006</v>
      </c>
    </row>
    <row r="274" spans="1:29" x14ac:dyDescent="0.35">
      <c r="A274" t="s">
        <v>630</v>
      </c>
      <c r="B274" t="s">
        <v>631</v>
      </c>
      <c r="C274" t="s">
        <v>205</v>
      </c>
      <c r="D274" t="s">
        <v>170</v>
      </c>
      <c r="E274" s="1">
        <v>46208</v>
      </c>
      <c r="F274" s="24">
        <f t="shared" si="40"/>
        <v>2026</v>
      </c>
      <c r="G274" s="24" t="str">
        <f t="shared" si="41"/>
        <v>July</v>
      </c>
      <c r="H274" s="24" t="str">
        <f t="shared" si="42"/>
        <v>Sunday</v>
      </c>
      <c r="I274" s="22">
        <v>0.62282407407407403</v>
      </c>
      <c r="J274" s="24">
        <f t="shared" si="43"/>
        <v>14</v>
      </c>
      <c r="K274" s="24">
        <f t="shared" si="44"/>
        <v>56</v>
      </c>
      <c r="L274" s="24">
        <f t="shared" si="45"/>
        <v>52</v>
      </c>
      <c r="M274" t="s">
        <v>17</v>
      </c>
      <c r="N274" t="s">
        <v>18</v>
      </c>
      <c r="O274" s="24">
        <v>5</v>
      </c>
      <c r="P274" s="11">
        <v>970.89</v>
      </c>
      <c r="Q274" s="26">
        <f>VLOOKUP('Prepared Sales Dataset'!M274,'Product-cost'!A:B,2,FALSE)</f>
        <v>600</v>
      </c>
      <c r="R274" t="s">
        <v>42</v>
      </c>
      <c r="S274" t="s">
        <v>272</v>
      </c>
      <c r="T274" t="s">
        <v>44</v>
      </c>
      <c r="U274" t="s">
        <v>921</v>
      </c>
      <c r="V274" s="17">
        <f>P274*O274</f>
        <v>4854.45</v>
      </c>
      <c r="W274" s="19">
        <f>O274*Q274</f>
        <v>3000</v>
      </c>
      <c r="X274" s="13">
        <f>VLOOKUP(R274,Taxrate!A:B,2,FALSE)</f>
        <v>0.15</v>
      </c>
      <c r="Y274" s="15">
        <f t="shared" si="46"/>
        <v>728.1674999999999</v>
      </c>
      <c r="Z274" s="9">
        <f>VLOOKUP(M274,'Discount Rate'!A:B,2,FALSE)</f>
        <v>0.05</v>
      </c>
      <c r="AA274" s="11">
        <f t="shared" si="47"/>
        <v>242.7225</v>
      </c>
      <c r="AB274" s="15">
        <f t="shared" si="48"/>
        <v>3883.56</v>
      </c>
      <c r="AC274" s="15">
        <f t="shared" si="49"/>
        <v>883.56</v>
      </c>
    </row>
    <row r="275" spans="1:29" x14ac:dyDescent="0.35">
      <c r="A275" t="s">
        <v>632</v>
      </c>
      <c r="B275" t="s">
        <v>633</v>
      </c>
      <c r="C275" t="s">
        <v>98</v>
      </c>
      <c r="D275" t="s">
        <v>99</v>
      </c>
      <c r="E275" s="1">
        <v>45846</v>
      </c>
      <c r="F275" s="24">
        <f t="shared" si="40"/>
        <v>2025</v>
      </c>
      <c r="G275" s="24" t="str">
        <f t="shared" si="41"/>
        <v>July</v>
      </c>
      <c r="H275" s="24" t="str">
        <f t="shared" si="42"/>
        <v>Tuesday</v>
      </c>
      <c r="I275" s="22">
        <v>0.48689814814814814</v>
      </c>
      <c r="J275" s="24">
        <f t="shared" si="43"/>
        <v>11</v>
      </c>
      <c r="K275" s="24">
        <f t="shared" si="44"/>
        <v>41</v>
      </c>
      <c r="L275" s="24">
        <f t="shared" si="45"/>
        <v>8</v>
      </c>
      <c r="M275" t="s">
        <v>49</v>
      </c>
      <c r="N275" t="s">
        <v>50</v>
      </c>
      <c r="O275" s="24">
        <v>13</v>
      </c>
      <c r="P275" s="11">
        <v>191.19</v>
      </c>
      <c r="Q275" s="26">
        <f>VLOOKUP('Prepared Sales Dataset'!M275,'Product-cost'!A:B,2,FALSE)</f>
        <v>150</v>
      </c>
      <c r="R275" t="s">
        <v>59</v>
      </c>
      <c r="S275" t="s">
        <v>122</v>
      </c>
      <c r="T275" t="s">
        <v>109</v>
      </c>
      <c r="U275" t="s">
        <v>923</v>
      </c>
      <c r="V275" s="17">
        <f>P275*O275</f>
        <v>2485.4699999999998</v>
      </c>
      <c r="W275" s="19">
        <f>O275*Q275</f>
        <v>1950</v>
      </c>
      <c r="X275" s="13">
        <f>VLOOKUP(R275,Taxrate!A:B,2,FALSE)</f>
        <v>0.12</v>
      </c>
      <c r="Y275" s="15">
        <f t="shared" si="46"/>
        <v>298.25639999999999</v>
      </c>
      <c r="Z275" s="9">
        <f>VLOOKUP(M275,'Discount Rate'!A:B,2,FALSE)</f>
        <v>7.0000000000000007E-2</v>
      </c>
      <c r="AA275" s="11">
        <f t="shared" si="47"/>
        <v>173.9829</v>
      </c>
      <c r="AB275" s="15">
        <f t="shared" si="48"/>
        <v>2013.2306999999998</v>
      </c>
      <c r="AC275" s="15">
        <f t="shared" si="49"/>
        <v>63.230699999999842</v>
      </c>
    </row>
    <row r="276" spans="1:29" x14ac:dyDescent="0.35">
      <c r="A276" t="s">
        <v>634</v>
      </c>
      <c r="B276" t="s">
        <v>248</v>
      </c>
      <c r="C276" t="s">
        <v>67</v>
      </c>
      <c r="D276" t="s">
        <v>16</v>
      </c>
      <c r="E276" s="1">
        <v>45304</v>
      </c>
      <c r="F276" s="24">
        <f t="shared" si="40"/>
        <v>2024</v>
      </c>
      <c r="G276" s="24" t="str">
        <f t="shared" si="41"/>
        <v>January</v>
      </c>
      <c r="H276" s="24" t="str">
        <f t="shared" si="42"/>
        <v>Saturday</v>
      </c>
      <c r="I276" s="22">
        <v>0.91399305555555554</v>
      </c>
      <c r="J276" s="24">
        <f t="shared" si="43"/>
        <v>21</v>
      </c>
      <c r="K276" s="24">
        <f t="shared" si="44"/>
        <v>56</v>
      </c>
      <c r="L276" s="24">
        <f t="shared" si="45"/>
        <v>9</v>
      </c>
      <c r="M276" t="s">
        <v>17</v>
      </c>
      <c r="N276" t="s">
        <v>18</v>
      </c>
      <c r="O276" s="24">
        <v>15</v>
      </c>
      <c r="P276" s="11">
        <v>1280.5999999999999</v>
      </c>
      <c r="Q276" s="26">
        <f>VLOOKUP('Prepared Sales Dataset'!M276,'Product-cost'!A:B,2,FALSE)</f>
        <v>600</v>
      </c>
      <c r="R276" t="s">
        <v>28</v>
      </c>
      <c r="S276" t="s">
        <v>36</v>
      </c>
      <c r="U276" t="s">
        <v>923</v>
      </c>
      <c r="V276" s="17">
        <f>P276*O276</f>
        <v>19209</v>
      </c>
      <c r="W276" s="19">
        <f>O276*Q276</f>
        <v>9000</v>
      </c>
      <c r="X276" s="13">
        <f>VLOOKUP(R276,Taxrate!A:B,2,FALSE)</f>
        <v>0.1</v>
      </c>
      <c r="Y276" s="15">
        <f t="shared" si="46"/>
        <v>1920.9</v>
      </c>
      <c r="Z276" s="9">
        <f>VLOOKUP(M276,'Discount Rate'!A:B,2,FALSE)</f>
        <v>0.05</v>
      </c>
      <c r="AA276" s="11">
        <f t="shared" si="47"/>
        <v>960.45</v>
      </c>
      <c r="AB276" s="15">
        <f t="shared" si="48"/>
        <v>16327.65</v>
      </c>
      <c r="AC276" s="15">
        <f t="shared" si="49"/>
        <v>7327.65</v>
      </c>
    </row>
    <row r="277" spans="1:29" x14ac:dyDescent="0.35">
      <c r="A277" t="s">
        <v>635</v>
      </c>
      <c r="B277" t="s">
        <v>636</v>
      </c>
      <c r="C277" t="s">
        <v>98</v>
      </c>
      <c r="D277" t="s">
        <v>99</v>
      </c>
      <c r="E277" s="1">
        <v>45473</v>
      </c>
      <c r="F277" s="24">
        <f t="shared" si="40"/>
        <v>2024</v>
      </c>
      <c r="G277" s="24" t="str">
        <f t="shared" si="41"/>
        <v>June</v>
      </c>
      <c r="H277" s="24" t="str">
        <f t="shared" si="42"/>
        <v>Sunday</v>
      </c>
      <c r="I277" s="22">
        <v>0.71821759259259255</v>
      </c>
      <c r="J277" s="24">
        <f t="shared" si="43"/>
        <v>17</v>
      </c>
      <c r="K277" s="24">
        <f t="shared" si="44"/>
        <v>14</v>
      </c>
      <c r="L277" s="24">
        <f t="shared" si="45"/>
        <v>14</v>
      </c>
      <c r="M277" t="s">
        <v>17</v>
      </c>
      <c r="N277" t="s">
        <v>18</v>
      </c>
      <c r="O277" s="24">
        <v>12</v>
      </c>
      <c r="P277" s="11">
        <v>867.04</v>
      </c>
      <c r="Q277" s="26">
        <f>VLOOKUP('Prepared Sales Dataset'!M277,'Product-cost'!A:B,2,FALSE)</f>
        <v>600</v>
      </c>
      <c r="R277" t="s">
        <v>59</v>
      </c>
      <c r="S277" t="s">
        <v>100</v>
      </c>
      <c r="T277" t="s">
        <v>142</v>
      </c>
      <c r="U277" t="s">
        <v>921</v>
      </c>
      <c r="V277" s="17">
        <f>P277*O277</f>
        <v>10404.48</v>
      </c>
      <c r="W277" s="19">
        <f>O277*Q277</f>
        <v>7200</v>
      </c>
      <c r="X277" s="13">
        <f>VLOOKUP(R277,Taxrate!A:B,2,FALSE)</f>
        <v>0.12</v>
      </c>
      <c r="Y277" s="15">
        <f t="shared" si="46"/>
        <v>1248.5375999999999</v>
      </c>
      <c r="Z277" s="9">
        <f>VLOOKUP(M277,'Discount Rate'!A:B,2,FALSE)</f>
        <v>0.05</v>
      </c>
      <c r="AA277" s="11">
        <f t="shared" si="47"/>
        <v>520.22400000000005</v>
      </c>
      <c r="AB277" s="15">
        <f t="shared" si="48"/>
        <v>8635.7183999999997</v>
      </c>
      <c r="AC277" s="15">
        <f t="shared" si="49"/>
        <v>1435.7183999999997</v>
      </c>
    </row>
    <row r="278" spans="1:29" x14ac:dyDescent="0.35">
      <c r="A278" t="s">
        <v>637</v>
      </c>
      <c r="B278" t="s">
        <v>638</v>
      </c>
      <c r="C278" t="s">
        <v>106</v>
      </c>
      <c r="D278" t="s">
        <v>107</v>
      </c>
      <c r="E278" s="1">
        <v>45479</v>
      </c>
      <c r="F278" s="24">
        <f t="shared" si="40"/>
        <v>2024</v>
      </c>
      <c r="G278" s="24" t="str">
        <f t="shared" si="41"/>
        <v>July</v>
      </c>
      <c r="H278" s="24" t="str">
        <f t="shared" si="42"/>
        <v>Saturday</v>
      </c>
      <c r="I278" s="22">
        <v>0.49145833333333333</v>
      </c>
      <c r="J278" s="24">
        <f t="shared" si="43"/>
        <v>11</v>
      </c>
      <c r="K278" s="24">
        <f t="shared" si="44"/>
        <v>47</v>
      </c>
      <c r="L278" s="24">
        <f t="shared" si="45"/>
        <v>42</v>
      </c>
      <c r="M278" t="s">
        <v>26</v>
      </c>
      <c r="N278" t="s">
        <v>27</v>
      </c>
      <c r="O278" s="24">
        <v>2</v>
      </c>
      <c r="P278" s="11">
        <v>766.41</v>
      </c>
      <c r="Q278" s="26">
        <f>VLOOKUP('Prepared Sales Dataset'!M278,'Product-cost'!A:B,2,FALSE)</f>
        <v>300</v>
      </c>
      <c r="R278" t="s">
        <v>42</v>
      </c>
      <c r="S278" t="s">
        <v>112</v>
      </c>
      <c r="T278" t="s">
        <v>95</v>
      </c>
      <c r="U278" t="s">
        <v>921</v>
      </c>
      <c r="V278" s="17">
        <f>P278*O278</f>
        <v>1532.82</v>
      </c>
      <c r="W278" s="19">
        <f>O278*Q278</f>
        <v>600</v>
      </c>
      <c r="X278" s="13">
        <f>VLOOKUP(R278,Taxrate!A:B,2,FALSE)</f>
        <v>0.15</v>
      </c>
      <c r="Y278" s="15">
        <f t="shared" si="46"/>
        <v>229.92299999999997</v>
      </c>
      <c r="Z278" s="9">
        <f>VLOOKUP(M278,'Discount Rate'!A:B,2,FALSE)</f>
        <v>0.1</v>
      </c>
      <c r="AA278" s="11">
        <f t="shared" si="47"/>
        <v>153.28200000000001</v>
      </c>
      <c r="AB278" s="15">
        <f t="shared" si="48"/>
        <v>1149.615</v>
      </c>
      <c r="AC278" s="15">
        <f t="shared" si="49"/>
        <v>549.61500000000001</v>
      </c>
    </row>
    <row r="279" spans="1:29" x14ac:dyDescent="0.35">
      <c r="A279" t="s">
        <v>639</v>
      </c>
      <c r="B279" t="s">
        <v>640</v>
      </c>
      <c r="C279" t="s">
        <v>169</v>
      </c>
      <c r="D279" t="s">
        <v>170</v>
      </c>
      <c r="E279" s="1">
        <v>45734</v>
      </c>
      <c r="F279" s="24">
        <f t="shared" si="40"/>
        <v>2025</v>
      </c>
      <c r="G279" s="24" t="str">
        <f t="shared" si="41"/>
        <v>March</v>
      </c>
      <c r="H279" s="24" t="str">
        <f t="shared" si="42"/>
        <v>Tuesday</v>
      </c>
      <c r="I279" s="22">
        <v>0.67115740740740737</v>
      </c>
      <c r="J279" s="24">
        <f t="shared" si="43"/>
        <v>16</v>
      </c>
      <c r="K279" s="24">
        <f t="shared" si="44"/>
        <v>6</v>
      </c>
      <c r="L279" s="24">
        <f t="shared" si="45"/>
        <v>28</v>
      </c>
      <c r="M279" t="s">
        <v>78</v>
      </c>
      <c r="N279" t="s">
        <v>79</v>
      </c>
      <c r="O279" s="24">
        <v>1</v>
      </c>
      <c r="P279" s="11">
        <v>138.43</v>
      </c>
      <c r="Q279" s="26">
        <f>VLOOKUP('Prepared Sales Dataset'!M279,'Product-cost'!A:B,2,FALSE)</f>
        <v>50</v>
      </c>
      <c r="R279" t="s">
        <v>59</v>
      </c>
      <c r="S279" t="s">
        <v>171</v>
      </c>
      <c r="T279" t="s">
        <v>172</v>
      </c>
      <c r="U279" t="s">
        <v>921</v>
      </c>
      <c r="V279" s="17">
        <f>P279*O279</f>
        <v>138.43</v>
      </c>
      <c r="W279" s="19">
        <f>O279*Q279</f>
        <v>50</v>
      </c>
      <c r="X279" s="13">
        <f>VLOOKUP(R279,Taxrate!A:B,2,FALSE)</f>
        <v>0.12</v>
      </c>
      <c r="Y279" s="15">
        <f t="shared" si="46"/>
        <v>16.611599999999999</v>
      </c>
      <c r="Z279" s="9">
        <f>VLOOKUP(M279,'Discount Rate'!A:B,2,FALSE)</f>
        <v>0.03</v>
      </c>
      <c r="AA279" s="11">
        <f t="shared" si="47"/>
        <v>4.1528999999999998</v>
      </c>
      <c r="AB279" s="15">
        <f t="shared" si="48"/>
        <v>117.66550000000001</v>
      </c>
      <c r="AC279" s="15">
        <f t="shared" si="49"/>
        <v>67.665500000000009</v>
      </c>
    </row>
    <row r="280" spans="1:29" x14ac:dyDescent="0.35">
      <c r="A280" t="s">
        <v>641</v>
      </c>
      <c r="B280" t="s">
        <v>542</v>
      </c>
      <c r="C280" t="s">
        <v>169</v>
      </c>
      <c r="D280" t="s">
        <v>170</v>
      </c>
      <c r="E280" s="1">
        <v>45512</v>
      </c>
      <c r="F280" s="24">
        <f t="shared" si="40"/>
        <v>2024</v>
      </c>
      <c r="G280" s="24" t="str">
        <f t="shared" si="41"/>
        <v>August</v>
      </c>
      <c r="H280" s="24" t="str">
        <f t="shared" si="42"/>
        <v>Thursday</v>
      </c>
      <c r="I280" s="22">
        <v>0.43562499999999998</v>
      </c>
      <c r="J280" s="24">
        <f t="shared" si="43"/>
        <v>10</v>
      </c>
      <c r="K280" s="24">
        <f t="shared" si="44"/>
        <v>27</v>
      </c>
      <c r="L280" s="24">
        <f t="shared" si="45"/>
        <v>18</v>
      </c>
      <c r="M280" t="s">
        <v>49</v>
      </c>
      <c r="N280" t="s">
        <v>50</v>
      </c>
      <c r="O280" s="24">
        <v>12</v>
      </c>
      <c r="P280" s="11">
        <v>191.65</v>
      </c>
      <c r="Q280" s="26">
        <f>VLOOKUP('Prepared Sales Dataset'!M280,'Product-cost'!A:B,2,FALSE)</f>
        <v>150</v>
      </c>
      <c r="R280" t="s">
        <v>42</v>
      </c>
      <c r="S280" t="s">
        <v>171</v>
      </c>
      <c r="T280" t="s">
        <v>109</v>
      </c>
      <c r="U280" t="s">
        <v>923</v>
      </c>
      <c r="V280" s="17">
        <f>P280*O280</f>
        <v>2299.8000000000002</v>
      </c>
      <c r="W280" s="19">
        <f>O280*Q280</f>
        <v>1800</v>
      </c>
      <c r="X280" s="13">
        <f>VLOOKUP(R280,Taxrate!A:B,2,FALSE)</f>
        <v>0.15</v>
      </c>
      <c r="Y280" s="15">
        <f t="shared" si="46"/>
        <v>344.97</v>
      </c>
      <c r="Z280" s="9">
        <f>VLOOKUP(M280,'Discount Rate'!A:B,2,FALSE)</f>
        <v>7.0000000000000007E-2</v>
      </c>
      <c r="AA280" s="11">
        <f t="shared" si="47"/>
        <v>160.98600000000002</v>
      </c>
      <c r="AB280" s="15">
        <f t="shared" si="48"/>
        <v>1793.8440000000001</v>
      </c>
      <c r="AC280" s="15">
        <f t="shared" si="49"/>
        <v>-6.1559999999999491</v>
      </c>
    </row>
    <row r="281" spans="1:29" x14ac:dyDescent="0.35">
      <c r="A281" t="s">
        <v>642</v>
      </c>
      <c r="B281" t="s">
        <v>643</v>
      </c>
      <c r="C281" t="s">
        <v>179</v>
      </c>
      <c r="D281" t="s">
        <v>41</v>
      </c>
      <c r="E281" s="1">
        <v>45858</v>
      </c>
      <c r="F281" s="24">
        <f t="shared" si="40"/>
        <v>2025</v>
      </c>
      <c r="G281" s="24" t="str">
        <f t="shared" si="41"/>
        <v>July</v>
      </c>
      <c r="H281" s="24" t="str">
        <f t="shared" si="42"/>
        <v>Sunday</v>
      </c>
      <c r="I281" s="22">
        <v>0.5143981481481481</v>
      </c>
      <c r="J281" s="24">
        <f t="shared" si="43"/>
        <v>12</v>
      </c>
      <c r="K281" s="24">
        <f t="shared" si="44"/>
        <v>20</v>
      </c>
      <c r="L281" s="24">
        <f t="shared" si="45"/>
        <v>44</v>
      </c>
      <c r="M281" t="s">
        <v>26</v>
      </c>
      <c r="N281" t="s">
        <v>27</v>
      </c>
      <c r="O281" s="24">
        <v>2</v>
      </c>
      <c r="P281" s="11">
        <v>506</v>
      </c>
      <c r="Q281" s="26">
        <f>VLOOKUP('Prepared Sales Dataset'!M281,'Product-cost'!A:B,2,FALSE)</f>
        <v>300</v>
      </c>
      <c r="R281" t="s">
        <v>42</v>
      </c>
      <c r="S281" t="s">
        <v>90</v>
      </c>
      <c r="T281" t="s">
        <v>172</v>
      </c>
      <c r="U281" t="s">
        <v>921</v>
      </c>
      <c r="V281" s="17">
        <f>P281*O281</f>
        <v>1012</v>
      </c>
      <c r="W281" s="19">
        <f>O281*Q281</f>
        <v>600</v>
      </c>
      <c r="X281" s="13">
        <f>VLOOKUP(R281,Taxrate!A:B,2,FALSE)</f>
        <v>0.15</v>
      </c>
      <c r="Y281" s="15">
        <f t="shared" si="46"/>
        <v>151.79999999999998</v>
      </c>
      <c r="Z281" s="9">
        <f>VLOOKUP(M281,'Discount Rate'!A:B,2,FALSE)</f>
        <v>0.1</v>
      </c>
      <c r="AA281" s="11">
        <f t="shared" si="47"/>
        <v>101.2</v>
      </c>
      <c r="AB281" s="15">
        <f t="shared" si="48"/>
        <v>759</v>
      </c>
      <c r="AC281" s="15">
        <f t="shared" si="49"/>
        <v>159</v>
      </c>
    </row>
    <row r="282" spans="1:29" x14ac:dyDescent="0.35">
      <c r="A282" t="s">
        <v>644</v>
      </c>
      <c r="B282" t="s">
        <v>645</v>
      </c>
      <c r="C282" t="s">
        <v>62</v>
      </c>
      <c r="D282" t="s">
        <v>63</v>
      </c>
      <c r="E282" s="1">
        <v>46085</v>
      </c>
      <c r="F282" s="24">
        <f t="shared" si="40"/>
        <v>2026</v>
      </c>
      <c r="G282" s="24" t="str">
        <f t="shared" si="41"/>
        <v>March</v>
      </c>
      <c r="H282" s="24" t="str">
        <f t="shared" si="42"/>
        <v>Wednesday</v>
      </c>
      <c r="I282" s="22">
        <v>0.45496527777777779</v>
      </c>
      <c r="J282" s="24">
        <f t="shared" si="43"/>
        <v>10</v>
      </c>
      <c r="K282" s="24">
        <f t="shared" si="44"/>
        <v>55</v>
      </c>
      <c r="L282" s="24">
        <f t="shared" si="45"/>
        <v>9</v>
      </c>
      <c r="M282" t="s">
        <v>26</v>
      </c>
      <c r="N282" t="s">
        <v>27</v>
      </c>
      <c r="O282" s="24">
        <v>1</v>
      </c>
      <c r="P282" s="11">
        <v>572.86</v>
      </c>
      <c r="Q282" s="26">
        <f>VLOOKUP('Prepared Sales Dataset'!M282,'Product-cost'!A:B,2,FALSE)</f>
        <v>300</v>
      </c>
      <c r="R282" t="s">
        <v>42</v>
      </c>
      <c r="S282" t="s">
        <v>80</v>
      </c>
      <c r="U282" t="s">
        <v>923</v>
      </c>
      <c r="V282" s="17">
        <f>P282*O282</f>
        <v>572.86</v>
      </c>
      <c r="W282" s="19">
        <f>O282*Q282</f>
        <v>300</v>
      </c>
      <c r="X282" s="13">
        <f>VLOOKUP(R282,Taxrate!A:B,2,FALSE)</f>
        <v>0.15</v>
      </c>
      <c r="Y282" s="15">
        <f t="shared" si="46"/>
        <v>85.929000000000002</v>
      </c>
      <c r="Z282" s="9">
        <f>VLOOKUP(M282,'Discount Rate'!A:B,2,FALSE)</f>
        <v>0.1</v>
      </c>
      <c r="AA282" s="11">
        <f t="shared" si="47"/>
        <v>57.286000000000001</v>
      </c>
      <c r="AB282" s="15">
        <f t="shared" si="48"/>
        <v>429.64499999999998</v>
      </c>
      <c r="AC282" s="15">
        <f t="shared" si="49"/>
        <v>129.64499999999998</v>
      </c>
    </row>
    <row r="283" spans="1:29" x14ac:dyDescent="0.35">
      <c r="A283" t="s">
        <v>646</v>
      </c>
      <c r="B283" t="s">
        <v>647</v>
      </c>
      <c r="C283" t="s">
        <v>77</v>
      </c>
      <c r="D283" t="s">
        <v>63</v>
      </c>
      <c r="E283" s="1">
        <v>46172</v>
      </c>
      <c r="F283" s="24">
        <f t="shared" si="40"/>
        <v>2026</v>
      </c>
      <c r="G283" s="24" t="str">
        <f t="shared" si="41"/>
        <v>May</v>
      </c>
      <c r="H283" s="24" t="str">
        <f t="shared" si="42"/>
        <v>Saturday</v>
      </c>
      <c r="I283" s="22">
        <v>0.46778935185185183</v>
      </c>
      <c r="J283" s="24">
        <f t="shared" si="43"/>
        <v>11</v>
      </c>
      <c r="K283" s="24">
        <f t="shared" si="44"/>
        <v>13</v>
      </c>
      <c r="L283" s="24">
        <f t="shared" si="45"/>
        <v>37</v>
      </c>
      <c r="M283" t="s">
        <v>78</v>
      </c>
      <c r="N283" t="s">
        <v>79</v>
      </c>
      <c r="O283" s="24">
        <v>8</v>
      </c>
      <c r="P283" s="11">
        <v>506</v>
      </c>
      <c r="Q283" s="26">
        <f>VLOOKUP('Prepared Sales Dataset'!M283,'Product-cost'!A:B,2,FALSE)</f>
        <v>50</v>
      </c>
      <c r="R283" t="s">
        <v>59</v>
      </c>
      <c r="S283" t="s">
        <v>80</v>
      </c>
      <c r="U283" t="s">
        <v>923</v>
      </c>
      <c r="V283" s="17">
        <f>P283*O283</f>
        <v>4048</v>
      </c>
      <c r="W283" s="19">
        <f>O283*Q283</f>
        <v>400</v>
      </c>
      <c r="X283" s="13">
        <f>VLOOKUP(R283,Taxrate!A:B,2,FALSE)</f>
        <v>0.12</v>
      </c>
      <c r="Y283" s="15">
        <f t="shared" si="46"/>
        <v>485.76</v>
      </c>
      <c r="Z283" s="9">
        <f>VLOOKUP(M283,'Discount Rate'!A:B,2,FALSE)</f>
        <v>0.03</v>
      </c>
      <c r="AA283" s="11">
        <f t="shared" si="47"/>
        <v>121.44</v>
      </c>
      <c r="AB283" s="15">
        <f t="shared" si="48"/>
        <v>3440.8</v>
      </c>
      <c r="AC283" s="15">
        <f t="shared" si="49"/>
        <v>3040.8</v>
      </c>
    </row>
    <row r="284" spans="1:29" x14ac:dyDescent="0.35">
      <c r="A284" t="s">
        <v>648</v>
      </c>
      <c r="B284" t="s">
        <v>368</v>
      </c>
      <c r="C284" t="s">
        <v>139</v>
      </c>
      <c r="D284" t="s">
        <v>25</v>
      </c>
      <c r="E284" s="1">
        <v>46293</v>
      </c>
      <c r="F284" s="24">
        <f t="shared" si="40"/>
        <v>2026</v>
      </c>
      <c r="G284" s="24" t="str">
        <f t="shared" si="41"/>
        <v>September</v>
      </c>
      <c r="H284" s="24" t="str">
        <f t="shared" si="42"/>
        <v>Monday</v>
      </c>
      <c r="I284" s="22">
        <v>0.58200231481481479</v>
      </c>
      <c r="J284" s="24">
        <f t="shared" si="43"/>
        <v>13</v>
      </c>
      <c r="K284" s="24">
        <f t="shared" si="44"/>
        <v>58</v>
      </c>
      <c r="L284" s="24">
        <f t="shared" si="45"/>
        <v>5</v>
      </c>
      <c r="M284" t="s">
        <v>17</v>
      </c>
      <c r="N284" t="s">
        <v>18</v>
      </c>
      <c r="O284" s="24">
        <v>3</v>
      </c>
      <c r="P284" s="11">
        <v>942.19</v>
      </c>
      <c r="Q284" s="26">
        <f>VLOOKUP('Prepared Sales Dataset'!M284,'Product-cost'!A:B,2,FALSE)</f>
        <v>600</v>
      </c>
      <c r="R284" t="s">
        <v>59</v>
      </c>
      <c r="S284" t="s">
        <v>56</v>
      </c>
      <c r="T284" t="s">
        <v>30</v>
      </c>
      <c r="U284" t="s">
        <v>921</v>
      </c>
      <c r="V284" s="17">
        <f>P284*O284</f>
        <v>2826.57</v>
      </c>
      <c r="W284" s="19">
        <f>O284*Q284</f>
        <v>1800</v>
      </c>
      <c r="X284" s="13">
        <f>VLOOKUP(R284,Taxrate!A:B,2,FALSE)</f>
        <v>0.12</v>
      </c>
      <c r="Y284" s="15">
        <f t="shared" si="46"/>
        <v>339.1884</v>
      </c>
      <c r="Z284" s="9">
        <f>VLOOKUP(M284,'Discount Rate'!A:B,2,FALSE)</f>
        <v>0.05</v>
      </c>
      <c r="AA284" s="11">
        <f t="shared" si="47"/>
        <v>141.32850000000002</v>
      </c>
      <c r="AB284" s="15">
        <f t="shared" si="48"/>
        <v>2346.0531000000001</v>
      </c>
      <c r="AC284" s="15">
        <f t="shared" si="49"/>
        <v>546.05310000000009</v>
      </c>
    </row>
    <row r="285" spans="1:29" x14ac:dyDescent="0.35">
      <c r="A285" t="s">
        <v>649</v>
      </c>
      <c r="B285" t="s">
        <v>650</v>
      </c>
      <c r="C285" t="s">
        <v>169</v>
      </c>
      <c r="D285" t="s">
        <v>170</v>
      </c>
      <c r="E285" s="1">
        <v>45802</v>
      </c>
      <c r="F285" s="24">
        <f t="shared" si="40"/>
        <v>2025</v>
      </c>
      <c r="G285" s="24" t="str">
        <f t="shared" si="41"/>
        <v>May</v>
      </c>
      <c r="H285" s="24" t="str">
        <f t="shared" si="42"/>
        <v>Sunday</v>
      </c>
      <c r="I285" s="22">
        <v>0.5209259259259259</v>
      </c>
      <c r="J285" s="24">
        <f t="shared" si="43"/>
        <v>12</v>
      </c>
      <c r="K285" s="24">
        <f t="shared" si="44"/>
        <v>30</v>
      </c>
      <c r="L285" s="24">
        <f t="shared" si="45"/>
        <v>8</v>
      </c>
      <c r="M285" t="s">
        <v>17</v>
      </c>
      <c r="N285" t="s">
        <v>18</v>
      </c>
      <c r="O285" s="24">
        <v>5</v>
      </c>
      <c r="P285" s="11">
        <v>1006.88</v>
      </c>
      <c r="Q285" s="26">
        <f>VLOOKUP('Prepared Sales Dataset'!M285,'Product-cost'!A:B,2,FALSE)</f>
        <v>600</v>
      </c>
      <c r="R285" t="s">
        <v>35</v>
      </c>
      <c r="S285" t="s">
        <v>272</v>
      </c>
      <c r="T285" t="s">
        <v>172</v>
      </c>
      <c r="U285" t="s">
        <v>921</v>
      </c>
      <c r="V285" s="17">
        <f>P285*O285</f>
        <v>5034.3999999999996</v>
      </c>
      <c r="W285" s="19">
        <f>O285*Q285</f>
        <v>3000</v>
      </c>
      <c r="X285" s="13">
        <f>VLOOKUP(R285,Taxrate!A:B,2,FALSE)</f>
        <v>0.2</v>
      </c>
      <c r="Y285" s="15">
        <f t="shared" si="46"/>
        <v>1006.88</v>
      </c>
      <c r="Z285" s="9">
        <f>VLOOKUP(M285,'Discount Rate'!A:B,2,FALSE)</f>
        <v>0.05</v>
      </c>
      <c r="AA285" s="11">
        <f t="shared" si="47"/>
        <v>251.72</v>
      </c>
      <c r="AB285" s="15">
        <f t="shared" si="48"/>
        <v>3775.7999999999997</v>
      </c>
      <c r="AC285" s="15">
        <f t="shared" si="49"/>
        <v>775.79999999999973</v>
      </c>
    </row>
    <row r="286" spans="1:29" x14ac:dyDescent="0.35">
      <c r="A286" t="s">
        <v>651</v>
      </c>
      <c r="B286" t="s">
        <v>598</v>
      </c>
      <c r="C286" t="s">
        <v>128</v>
      </c>
      <c r="D286" t="s">
        <v>63</v>
      </c>
      <c r="E286" s="1">
        <v>46173</v>
      </c>
      <c r="F286" s="24">
        <f t="shared" si="40"/>
        <v>2026</v>
      </c>
      <c r="G286" s="24" t="str">
        <f t="shared" si="41"/>
        <v>May</v>
      </c>
      <c r="H286" s="24" t="str">
        <f t="shared" si="42"/>
        <v>Sunday</v>
      </c>
      <c r="I286" s="22">
        <v>0.52333333333333332</v>
      </c>
      <c r="J286" s="24">
        <f t="shared" si="43"/>
        <v>12</v>
      </c>
      <c r="K286" s="24">
        <f t="shared" si="44"/>
        <v>33</v>
      </c>
      <c r="L286" s="24">
        <f t="shared" si="45"/>
        <v>36</v>
      </c>
      <c r="M286" t="s">
        <v>49</v>
      </c>
      <c r="N286" t="s">
        <v>50</v>
      </c>
      <c r="O286" s="24">
        <v>3</v>
      </c>
      <c r="P286" s="11">
        <v>230.6</v>
      </c>
      <c r="Q286" s="26">
        <f>VLOOKUP('Prepared Sales Dataset'!M286,'Product-cost'!A:B,2,FALSE)</f>
        <v>150</v>
      </c>
      <c r="R286" t="s">
        <v>42</v>
      </c>
      <c r="S286" t="s">
        <v>64</v>
      </c>
      <c r="U286" t="s">
        <v>923</v>
      </c>
      <c r="V286" s="17">
        <f>P286*O286</f>
        <v>691.8</v>
      </c>
      <c r="W286" s="19">
        <f>O286*Q286</f>
        <v>450</v>
      </c>
      <c r="X286" s="13">
        <f>VLOOKUP(R286,Taxrate!A:B,2,FALSE)</f>
        <v>0.15</v>
      </c>
      <c r="Y286" s="15">
        <f t="shared" si="46"/>
        <v>103.77</v>
      </c>
      <c r="Z286" s="9">
        <f>VLOOKUP(M286,'Discount Rate'!A:B,2,FALSE)</f>
        <v>7.0000000000000007E-2</v>
      </c>
      <c r="AA286" s="11">
        <f t="shared" si="47"/>
        <v>48.426000000000002</v>
      </c>
      <c r="AB286" s="15">
        <f t="shared" si="48"/>
        <v>539.60399999999993</v>
      </c>
      <c r="AC286" s="15">
        <f t="shared" si="49"/>
        <v>89.603999999999928</v>
      </c>
    </row>
    <row r="287" spans="1:29" x14ac:dyDescent="0.35">
      <c r="A287" t="s">
        <v>652</v>
      </c>
      <c r="B287" t="s">
        <v>653</v>
      </c>
      <c r="C287" t="s">
        <v>15</v>
      </c>
      <c r="D287" t="s">
        <v>16</v>
      </c>
      <c r="E287" s="1">
        <v>46187</v>
      </c>
      <c r="F287" s="24">
        <f t="shared" si="40"/>
        <v>2026</v>
      </c>
      <c r="G287" s="24" t="str">
        <f t="shared" si="41"/>
        <v>June</v>
      </c>
      <c r="H287" s="24" t="str">
        <f t="shared" si="42"/>
        <v>Sunday</v>
      </c>
      <c r="I287" s="22">
        <v>0.58496527777777774</v>
      </c>
      <c r="J287" s="24">
        <f t="shared" si="43"/>
        <v>14</v>
      </c>
      <c r="K287" s="24">
        <f t="shared" si="44"/>
        <v>2</v>
      </c>
      <c r="L287" s="24">
        <f t="shared" si="45"/>
        <v>21</v>
      </c>
      <c r="M287" t="s">
        <v>33</v>
      </c>
      <c r="N287" t="s">
        <v>34</v>
      </c>
      <c r="O287" s="24">
        <v>11</v>
      </c>
      <c r="P287" s="11">
        <v>448.12</v>
      </c>
      <c r="Q287" s="26">
        <f>VLOOKUP('Prepared Sales Dataset'!M287,'Product-cost'!A:B,2,FALSE)</f>
        <v>200</v>
      </c>
      <c r="R287" t="s">
        <v>28</v>
      </c>
      <c r="S287" t="s">
        <v>20</v>
      </c>
      <c r="T287" t="s">
        <v>133</v>
      </c>
      <c r="U287" t="s">
        <v>921</v>
      </c>
      <c r="V287" s="17">
        <f>P287*O287</f>
        <v>4929.32</v>
      </c>
      <c r="W287" s="19">
        <f>O287*Q287</f>
        <v>2200</v>
      </c>
      <c r="X287" s="13">
        <f>VLOOKUP(R287,Taxrate!A:B,2,FALSE)</f>
        <v>0.1</v>
      </c>
      <c r="Y287" s="15">
        <f t="shared" si="46"/>
        <v>492.93200000000002</v>
      </c>
      <c r="Z287" s="9">
        <f>VLOOKUP(M287,'Discount Rate'!A:B,2,FALSE)</f>
        <v>0.08</v>
      </c>
      <c r="AA287" s="11">
        <f t="shared" si="47"/>
        <v>394.34559999999999</v>
      </c>
      <c r="AB287" s="15">
        <f t="shared" si="48"/>
        <v>4042.0423999999998</v>
      </c>
      <c r="AC287" s="15">
        <f t="shared" si="49"/>
        <v>1842.0423999999998</v>
      </c>
    </row>
    <row r="288" spans="1:29" x14ac:dyDescent="0.35">
      <c r="A288" t="s">
        <v>654</v>
      </c>
      <c r="B288" t="s">
        <v>362</v>
      </c>
      <c r="C288" t="s">
        <v>179</v>
      </c>
      <c r="D288" t="s">
        <v>41</v>
      </c>
      <c r="E288" s="1">
        <v>45286</v>
      </c>
      <c r="F288" s="24">
        <f t="shared" si="40"/>
        <v>2023</v>
      </c>
      <c r="G288" s="24" t="str">
        <f t="shared" si="41"/>
        <v>December</v>
      </c>
      <c r="H288" s="24" t="str">
        <f t="shared" si="42"/>
        <v>Tuesday</v>
      </c>
      <c r="I288" s="22">
        <v>0.57871527777777776</v>
      </c>
      <c r="J288" s="24">
        <f t="shared" si="43"/>
        <v>13</v>
      </c>
      <c r="K288" s="24">
        <f t="shared" si="44"/>
        <v>53</v>
      </c>
      <c r="L288" s="24">
        <f t="shared" si="45"/>
        <v>21</v>
      </c>
      <c r="M288" t="s">
        <v>78</v>
      </c>
      <c r="N288" t="s">
        <v>79</v>
      </c>
      <c r="O288" s="24">
        <v>13</v>
      </c>
      <c r="P288" s="11">
        <v>506</v>
      </c>
      <c r="Q288" s="26">
        <f>VLOOKUP('Prepared Sales Dataset'!M288,'Product-cost'!A:B,2,FALSE)</f>
        <v>50</v>
      </c>
      <c r="R288" t="s">
        <v>35</v>
      </c>
      <c r="S288" t="s">
        <v>90</v>
      </c>
      <c r="T288" t="s">
        <v>133</v>
      </c>
      <c r="U288" t="s">
        <v>921</v>
      </c>
      <c r="V288" s="17">
        <f>P288*O288</f>
        <v>6578</v>
      </c>
      <c r="W288" s="19">
        <f>O288*Q288</f>
        <v>650</v>
      </c>
      <c r="X288" s="13">
        <f>VLOOKUP(R288,Taxrate!A:B,2,FALSE)</f>
        <v>0.2</v>
      </c>
      <c r="Y288" s="15">
        <f t="shared" si="46"/>
        <v>1315.6000000000001</v>
      </c>
      <c r="Z288" s="9">
        <f>VLOOKUP(M288,'Discount Rate'!A:B,2,FALSE)</f>
        <v>0.03</v>
      </c>
      <c r="AA288" s="11">
        <f t="shared" si="47"/>
        <v>197.34</v>
      </c>
      <c r="AB288" s="15">
        <f t="shared" si="48"/>
        <v>5065.0599999999995</v>
      </c>
      <c r="AC288" s="15">
        <f t="shared" si="49"/>
        <v>4415.0599999999995</v>
      </c>
    </row>
    <row r="289" spans="1:29" x14ac:dyDescent="0.35">
      <c r="A289" t="s">
        <v>655</v>
      </c>
      <c r="B289" t="s">
        <v>510</v>
      </c>
      <c r="C289" t="s">
        <v>136</v>
      </c>
      <c r="D289" t="s">
        <v>25</v>
      </c>
      <c r="E289" s="1">
        <v>46084</v>
      </c>
      <c r="F289" s="24">
        <f t="shared" si="40"/>
        <v>2026</v>
      </c>
      <c r="G289" s="24" t="str">
        <f t="shared" si="41"/>
        <v>March</v>
      </c>
      <c r="H289" s="24" t="str">
        <f t="shared" si="42"/>
        <v>Tuesday</v>
      </c>
      <c r="I289" s="22">
        <v>0.69028935185185181</v>
      </c>
      <c r="J289" s="24">
        <f t="shared" si="43"/>
        <v>16</v>
      </c>
      <c r="K289" s="24">
        <f t="shared" si="44"/>
        <v>34</v>
      </c>
      <c r="L289" s="24">
        <f t="shared" si="45"/>
        <v>1</v>
      </c>
      <c r="M289" t="s">
        <v>26</v>
      </c>
      <c r="N289" t="s">
        <v>27</v>
      </c>
      <c r="O289" s="24">
        <v>6</v>
      </c>
      <c r="P289" s="11">
        <v>746.41</v>
      </c>
      <c r="Q289" s="26">
        <f>VLOOKUP('Prepared Sales Dataset'!M289,'Product-cost'!A:B,2,FALSE)</f>
        <v>300</v>
      </c>
      <c r="R289" t="s">
        <v>28</v>
      </c>
      <c r="S289" t="s">
        <v>56</v>
      </c>
      <c r="T289" t="s">
        <v>133</v>
      </c>
      <c r="U289" t="s">
        <v>921</v>
      </c>
      <c r="V289" s="17">
        <f>P289*O289</f>
        <v>4478.46</v>
      </c>
      <c r="W289" s="19">
        <f>O289*Q289</f>
        <v>1800</v>
      </c>
      <c r="X289" s="13">
        <f>VLOOKUP(R289,Taxrate!A:B,2,FALSE)</f>
        <v>0.1</v>
      </c>
      <c r="Y289" s="15">
        <f t="shared" si="46"/>
        <v>447.846</v>
      </c>
      <c r="Z289" s="9">
        <f>VLOOKUP(M289,'Discount Rate'!A:B,2,FALSE)</f>
        <v>0.1</v>
      </c>
      <c r="AA289" s="11">
        <f t="shared" si="47"/>
        <v>447.846</v>
      </c>
      <c r="AB289" s="15">
        <f t="shared" si="48"/>
        <v>3582.768</v>
      </c>
      <c r="AC289" s="15">
        <f t="shared" si="49"/>
        <v>1782.768</v>
      </c>
    </row>
    <row r="290" spans="1:29" x14ac:dyDescent="0.35">
      <c r="A290" t="s">
        <v>656</v>
      </c>
      <c r="B290" t="s">
        <v>657</v>
      </c>
      <c r="C290" t="s">
        <v>98</v>
      </c>
      <c r="D290" t="s">
        <v>99</v>
      </c>
      <c r="E290" s="1">
        <v>45310</v>
      </c>
      <c r="F290" s="24">
        <f t="shared" si="40"/>
        <v>2024</v>
      </c>
      <c r="G290" s="24" t="str">
        <f t="shared" si="41"/>
        <v>January</v>
      </c>
      <c r="H290" s="24" t="str">
        <f t="shared" si="42"/>
        <v>Friday</v>
      </c>
      <c r="I290" s="22">
        <v>0.91027777777777774</v>
      </c>
      <c r="J290" s="24">
        <f t="shared" si="43"/>
        <v>21</v>
      </c>
      <c r="K290" s="24">
        <f t="shared" si="44"/>
        <v>50</v>
      </c>
      <c r="L290" s="24">
        <f t="shared" si="45"/>
        <v>48</v>
      </c>
      <c r="M290" t="s">
        <v>33</v>
      </c>
      <c r="N290" t="s">
        <v>34</v>
      </c>
      <c r="O290" s="24">
        <v>6</v>
      </c>
      <c r="P290" s="11">
        <v>374.3</v>
      </c>
      <c r="Q290" s="26">
        <f>VLOOKUP('Prepared Sales Dataset'!M290,'Product-cost'!A:B,2,FALSE)</f>
        <v>200</v>
      </c>
      <c r="R290" t="s">
        <v>55</v>
      </c>
      <c r="S290" t="s">
        <v>122</v>
      </c>
      <c r="U290" t="s">
        <v>923</v>
      </c>
      <c r="V290" s="17">
        <f>P290*O290</f>
        <v>2245.8000000000002</v>
      </c>
      <c r="W290" s="19">
        <f>O290*Q290</f>
        <v>1200</v>
      </c>
      <c r="X290" s="13">
        <f>VLOOKUP(R290,Taxrate!A:B,2,FALSE)</f>
        <v>7.0000000000000007E-2</v>
      </c>
      <c r="Y290" s="15">
        <f t="shared" si="46"/>
        <v>157.20600000000002</v>
      </c>
      <c r="Z290" s="9">
        <f>VLOOKUP(M290,'Discount Rate'!A:B,2,FALSE)</f>
        <v>0.08</v>
      </c>
      <c r="AA290" s="11">
        <f t="shared" si="47"/>
        <v>179.66400000000002</v>
      </c>
      <c r="AB290" s="15">
        <f t="shared" si="48"/>
        <v>1908.9300000000003</v>
      </c>
      <c r="AC290" s="15">
        <f t="shared" si="49"/>
        <v>708.93000000000029</v>
      </c>
    </row>
    <row r="291" spans="1:29" x14ac:dyDescent="0.35">
      <c r="A291" t="s">
        <v>658</v>
      </c>
      <c r="B291" t="s">
        <v>512</v>
      </c>
      <c r="C291" t="s">
        <v>47</v>
      </c>
      <c r="D291" t="s">
        <v>48</v>
      </c>
      <c r="E291" s="1">
        <v>45116</v>
      </c>
      <c r="F291" s="24">
        <f t="shared" si="40"/>
        <v>2023</v>
      </c>
      <c r="G291" s="24" t="str">
        <f t="shared" si="41"/>
        <v>July</v>
      </c>
      <c r="H291" s="24" t="str">
        <f t="shared" si="42"/>
        <v>Sunday</v>
      </c>
      <c r="I291" s="22">
        <v>0.66795138888888894</v>
      </c>
      <c r="J291" s="24">
        <f t="shared" si="43"/>
        <v>16</v>
      </c>
      <c r="K291" s="24">
        <f t="shared" si="44"/>
        <v>1</v>
      </c>
      <c r="L291" s="24">
        <f t="shared" si="45"/>
        <v>51</v>
      </c>
      <c r="M291" t="s">
        <v>78</v>
      </c>
      <c r="N291" t="s">
        <v>79</v>
      </c>
      <c r="O291" s="24">
        <v>3</v>
      </c>
      <c r="P291" s="11">
        <v>189.27</v>
      </c>
      <c r="Q291" s="26">
        <f>VLOOKUP('Prepared Sales Dataset'!M291,'Product-cost'!A:B,2,FALSE)</f>
        <v>50</v>
      </c>
      <c r="R291" t="s">
        <v>59</v>
      </c>
      <c r="S291" t="s">
        <v>85</v>
      </c>
      <c r="T291" t="s">
        <v>37</v>
      </c>
      <c r="U291" t="s">
        <v>921</v>
      </c>
      <c r="V291" s="17">
        <f>P291*O291</f>
        <v>567.81000000000006</v>
      </c>
      <c r="W291" s="19">
        <f>O291*Q291</f>
        <v>150</v>
      </c>
      <c r="X291" s="13">
        <f>VLOOKUP(R291,Taxrate!A:B,2,FALSE)</f>
        <v>0.12</v>
      </c>
      <c r="Y291" s="15">
        <f t="shared" si="46"/>
        <v>68.137200000000007</v>
      </c>
      <c r="Z291" s="9">
        <f>VLOOKUP(M291,'Discount Rate'!A:B,2,FALSE)</f>
        <v>0.03</v>
      </c>
      <c r="AA291" s="11">
        <f t="shared" si="47"/>
        <v>17.034300000000002</v>
      </c>
      <c r="AB291" s="15">
        <f t="shared" si="48"/>
        <v>482.63850000000002</v>
      </c>
      <c r="AC291" s="15">
        <f t="shared" si="49"/>
        <v>332.63850000000002</v>
      </c>
    </row>
    <row r="292" spans="1:29" x14ac:dyDescent="0.35">
      <c r="A292" t="s">
        <v>659</v>
      </c>
      <c r="B292" t="s">
        <v>660</v>
      </c>
      <c r="C292" t="s">
        <v>195</v>
      </c>
      <c r="D292" t="s">
        <v>63</v>
      </c>
      <c r="E292" s="1">
        <v>45867</v>
      </c>
      <c r="F292" s="24">
        <f t="shared" si="40"/>
        <v>2025</v>
      </c>
      <c r="G292" s="24" t="str">
        <f t="shared" si="41"/>
        <v>July</v>
      </c>
      <c r="H292" s="24" t="str">
        <f t="shared" si="42"/>
        <v>Tuesday</v>
      </c>
      <c r="I292" s="22">
        <v>0.83024305555555555</v>
      </c>
      <c r="J292" s="24">
        <f t="shared" si="43"/>
        <v>19</v>
      </c>
      <c r="K292" s="24">
        <f t="shared" si="44"/>
        <v>55</v>
      </c>
      <c r="L292" s="24">
        <f t="shared" si="45"/>
        <v>33</v>
      </c>
      <c r="M292" t="s">
        <v>17</v>
      </c>
      <c r="N292" t="s">
        <v>18</v>
      </c>
      <c r="O292" s="24">
        <v>8</v>
      </c>
      <c r="P292" s="11">
        <v>1143.53</v>
      </c>
      <c r="Q292" s="26">
        <f>VLOOKUP('Prepared Sales Dataset'!M292,'Product-cost'!A:B,2,FALSE)</f>
        <v>600</v>
      </c>
      <c r="R292" t="s">
        <v>59</v>
      </c>
      <c r="S292" t="s">
        <v>64</v>
      </c>
      <c r="T292" t="s">
        <v>37</v>
      </c>
      <c r="U292" t="s">
        <v>921</v>
      </c>
      <c r="V292" s="17">
        <f>P292*O292</f>
        <v>9148.24</v>
      </c>
      <c r="W292" s="19">
        <f>O292*Q292</f>
        <v>4800</v>
      </c>
      <c r="X292" s="13">
        <f>VLOOKUP(R292,Taxrate!A:B,2,FALSE)</f>
        <v>0.12</v>
      </c>
      <c r="Y292" s="15">
        <f t="shared" si="46"/>
        <v>1097.7888</v>
      </c>
      <c r="Z292" s="9">
        <f>VLOOKUP(M292,'Discount Rate'!A:B,2,FALSE)</f>
        <v>0.05</v>
      </c>
      <c r="AA292" s="11">
        <f t="shared" si="47"/>
        <v>457.41200000000003</v>
      </c>
      <c r="AB292" s="15">
        <f t="shared" si="48"/>
        <v>7593.0391999999993</v>
      </c>
      <c r="AC292" s="15">
        <f t="shared" si="49"/>
        <v>2793.0391999999993</v>
      </c>
    </row>
    <row r="293" spans="1:29" x14ac:dyDescent="0.35">
      <c r="A293" t="s">
        <v>661</v>
      </c>
      <c r="B293" t="s">
        <v>662</v>
      </c>
      <c r="C293" t="s">
        <v>128</v>
      </c>
      <c r="D293" t="s">
        <v>63</v>
      </c>
      <c r="E293" s="1">
        <v>45584</v>
      </c>
      <c r="F293" s="24">
        <f t="shared" si="40"/>
        <v>2024</v>
      </c>
      <c r="G293" s="24" t="str">
        <f t="shared" si="41"/>
        <v>October</v>
      </c>
      <c r="H293" s="24" t="str">
        <f t="shared" si="42"/>
        <v>Saturday</v>
      </c>
      <c r="I293" s="22">
        <v>0.4710300925925926</v>
      </c>
      <c r="J293" s="24">
        <f t="shared" si="43"/>
        <v>11</v>
      </c>
      <c r="K293" s="24">
        <f t="shared" si="44"/>
        <v>18</v>
      </c>
      <c r="L293" s="24">
        <f t="shared" si="45"/>
        <v>17</v>
      </c>
      <c r="M293" t="s">
        <v>49</v>
      </c>
      <c r="N293" t="s">
        <v>50</v>
      </c>
      <c r="O293" s="24">
        <v>8</v>
      </c>
      <c r="P293" s="11">
        <v>205.99</v>
      </c>
      <c r="Q293" s="26">
        <f>VLOOKUP('Prepared Sales Dataset'!M293,'Product-cost'!A:B,2,FALSE)</f>
        <v>150</v>
      </c>
      <c r="R293" t="s">
        <v>35</v>
      </c>
      <c r="S293" t="s">
        <v>241</v>
      </c>
      <c r="U293" t="s">
        <v>923</v>
      </c>
      <c r="V293" s="17">
        <f>P293*O293</f>
        <v>1647.92</v>
      </c>
      <c r="W293" s="19">
        <f>O293*Q293</f>
        <v>1200</v>
      </c>
      <c r="X293" s="13">
        <f>VLOOKUP(R293,Taxrate!A:B,2,FALSE)</f>
        <v>0.2</v>
      </c>
      <c r="Y293" s="15">
        <f t="shared" si="46"/>
        <v>329.58400000000006</v>
      </c>
      <c r="Z293" s="9">
        <f>VLOOKUP(M293,'Discount Rate'!A:B,2,FALSE)</f>
        <v>7.0000000000000007E-2</v>
      </c>
      <c r="AA293" s="11">
        <f t="shared" si="47"/>
        <v>115.35440000000001</v>
      </c>
      <c r="AB293" s="15">
        <f t="shared" si="48"/>
        <v>1202.9816000000001</v>
      </c>
      <c r="AC293" s="15">
        <f t="shared" si="49"/>
        <v>2.9816000000000713</v>
      </c>
    </row>
    <row r="294" spans="1:29" x14ac:dyDescent="0.35">
      <c r="A294" t="s">
        <v>664</v>
      </c>
      <c r="B294" t="s">
        <v>665</v>
      </c>
      <c r="C294" t="s">
        <v>139</v>
      </c>
      <c r="D294" t="s">
        <v>25</v>
      </c>
      <c r="E294" s="1">
        <v>45507</v>
      </c>
      <c r="F294" s="24">
        <f t="shared" si="40"/>
        <v>2024</v>
      </c>
      <c r="G294" s="24" t="str">
        <f t="shared" si="41"/>
        <v>August</v>
      </c>
      <c r="H294" s="24" t="str">
        <f t="shared" si="42"/>
        <v>Saturday</v>
      </c>
      <c r="I294" s="22">
        <v>0.41966435185185186</v>
      </c>
      <c r="J294" s="24">
        <f t="shared" si="43"/>
        <v>10</v>
      </c>
      <c r="K294" s="24">
        <f t="shared" si="44"/>
        <v>4</v>
      </c>
      <c r="L294" s="24">
        <f t="shared" si="45"/>
        <v>19</v>
      </c>
      <c r="M294" t="s">
        <v>49</v>
      </c>
      <c r="N294" t="s">
        <v>50</v>
      </c>
      <c r="O294" s="24">
        <v>9</v>
      </c>
      <c r="P294" s="11">
        <v>190.31</v>
      </c>
      <c r="Q294" s="26">
        <f>VLOOKUP('Prepared Sales Dataset'!M294,'Product-cost'!A:B,2,FALSE)</f>
        <v>150</v>
      </c>
      <c r="R294" t="s">
        <v>42</v>
      </c>
      <c r="S294" t="s">
        <v>29</v>
      </c>
      <c r="T294" t="s">
        <v>249</v>
      </c>
      <c r="U294" t="s">
        <v>921</v>
      </c>
      <c r="V294" s="17">
        <f>P294*O294</f>
        <v>1712.79</v>
      </c>
      <c r="W294" s="19">
        <f>O294*Q294</f>
        <v>1350</v>
      </c>
      <c r="X294" s="13">
        <f>VLOOKUP(R294,Taxrate!A:B,2,FALSE)</f>
        <v>0.15</v>
      </c>
      <c r="Y294" s="15">
        <f t="shared" si="46"/>
        <v>256.91849999999999</v>
      </c>
      <c r="Z294" s="9">
        <f>VLOOKUP(M294,'Discount Rate'!A:B,2,FALSE)</f>
        <v>7.0000000000000007E-2</v>
      </c>
      <c r="AA294" s="11">
        <f t="shared" si="47"/>
        <v>119.89530000000001</v>
      </c>
      <c r="AB294" s="15">
        <f t="shared" si="48"/>
        <v>1335.9762000000001</v>
      </c>
      <c r="AC294" s="15">
        <f t="shared" si="49"/>
        <v>-14.023799999999937</v>
      </c>
    </row>
    <row r="295" spans="1:29" x14ac:dyDescent="0.35">
      <c r="A295" t="s">
        <v>667</v>
      </c>
      <c r="B295" t="s">
        <v>668</v>
      </c>
      <c r="C295" t="s">
        <v>150</v>
      </c>
      <c r="D295" t="s">
        <v>25</v>
      </c>
      <c r="E295" s="1">
        <v>45566</v>
      </c>
      <c r="F295" s="24">
        <f t="shared" si="40"/>
        <v>2024</v>
      </c>
      <c r="G295" s="24" t="str">
        <f t="shared" si="41"/>
        <v>October</v>
      </c>
      <c r="H295" s="24" t="str">
        <f t="shared" si="42"/>
        <v>Tuesday</v>
      </c>
      <c r="I295" s="22">
        <v>0.88385416666666672</v>
      </c>
      <c r="J295" s="24">
        <f t="shared" si="43"/>
        <v>21</v>
      </c>
      <c r="K295" s="24">
        <f t="shared" si="44"/>
        <v>12</v>
      </c>
      <c r="L295" s="24">
        <f t="shared" si="45"/>
        <v>45</v>
      </c>
      <c r="M295" t="s">
        <v>49</v>
      </c>
      <c r="N295" t="s">
        <v>50</v>
      </c>
      <c r="O295" s="24">
        <v>8</v>
      </c>
      <c r="P295" s="11">
        <v>260.08999999999997</v>
      </c>
      <c r="Q295" s="26">
        <f>VLOOKUP('Prepared Sales Dataset'!M295,'Product-cost'!A:B,2,FALSE)</f>
        <v>150</v>
      </c>
      <c r="R295" t="s">
        <v>59</v>
      </c>
      <c r="S295" t="s">
        <v>29</v>
      </c>
      <c r="U295" t="s">
        <v>923</v>
      </c>
      <c r="V295" s="17">
        <f>P295*O295</f>
        <v>2080.7199999999998</v>
      </c>
      <c r="W295" s="19">
        <f>O295*Q295</f>
        <v>1200</v>
      </c>
      <c r="X295" s="13">
        <f>VLOOKUP(R295,Taxrate!A:B,2,FALSE)</f>
        <v>0.12</v>
      </c>
      <c r="Y295" s="15">
        <f t="shared" si="46"/>
        <v>249.68639999999996</v>
      </c>
      <c r="Z295" s="9">
        <f>VLOOKUP(M295,'Discount Rate'!A:B,2,FALSE)</f>
        <v>7.0000000000000007E-2</v>
      </c>
      <c r="AA295" s="11">
        <f t="shared" si="47"/>
        <v>145.65039999999999</v>
      </c>
      <c r="AB295" s="15">
        <f t="shared" si="48"/>
        <v>1685.3831999999998</v>
      </c>
      <c r="AC295" s="15">
        <f t="shared" si="49"/>
        <v>485.38319999999976</v>
      </c>
    </row>
    <row r="296" spans="1:29" x14ac:dyDescent="0.35">
      <c r="A296" t="s">
        <v>669</v>
      </c>
      <c r="B296" t="s">
        <v>670</v>
      </c>
      <c r="C296" t="s">
        <v>150</v>
      </c>
      <c r="D296" t="s">
        <v>25</v>
      </c>
      <c r="E296" s="1">
        <v>45401</v>
      </c>
      <c r="F296" s="24">
        <f t="shared" si="40"/>
        <v>2024</v>
      </c>
      <c r="G296" s="24" t="str">
        <f t="shared" si="41"/>
        <v>April</v>
      </c>
      <c r="H296" s="24" t="str">
        <f t="shared" si="42"/>
        <v>Friday</v>
      </c>
      <c r="I296" s="22">
        <v>0.45552083333333332</v>
      </c>
      <c r="J296" s="24">
        <f t="shared" si="43"/>
        <v>10</v>
      </c>
      <c r="K296" s="24">
        <f t="shared" si="44"/>
        <v>55</v>
      </c>
      <c r="L296" s="24">
        <f t="shared" si="45"/>
        <v>57</v>
      </c>
      <c r="M296" t="s">
        <v>49</v>
      </c>
      <c r="N296" t="s">
        <v>50</v>
      </c>
      <c r="O296" s="24">
        <v>6</v>
      </c>
      <c r="P296" s="11">
        <v>252.96</v>
      </c>
      <c r="Q296" s="26">
        <f>VLOOKUP('Prepared Sales Dataset'!M296,'Product-cost'!A:B,2,FALSE)</f>
        <v>150</v>
      </c>
      <c r="R296" t="s">
        <v>28</v>
      </c>
      <c r="S296" t="s">
        <v>29</v>
      </c>
      <c r="U296" t="s">
        <v>923</v>
      </c>
      <c r="V296" s="17">
        <f>P296*O296</f>
        <v>1517.76</v>
      </c>
      <c r="W296" s="19">
        <f>O296*Q296</f>
        <v>900</v>
      </c>
      <c r="X296" s="13">
        <f>VLOOKUP(R296,Taxrate!A:B,2,FALSE)</f>
        <v>0.1</v>
      </c>
      <c r="Y296" s="15">
        <f t="shared" si="46"/>
        <v>151.77600000000001</v>
      </c>
      <c r="Z296" s="9">
        <f>VLOOKUP(M296,'Discount Rate'!A:B,2,FALSE)</f>
        <v>7.0000000000000007E-2</v>
      </c>
      <c r="AA296" s="11">
        <f t="shared" si="47"/>
        <v>106.24320000000002</v>
      </c>
      <c r="AB296" s="15">
        <f t="shared" si="48"/>
        <v>1259.7408</v>
      </c>
      <c r="AC296" s="15">
        <f t="shared" si="49"/>
        <v>359.74080000000004</v>
      </c>
    </row>
    <row r="297" spans="1:29" x14ac:dyDescent="0.35">
      <c r="A297" t="s">
        <v>671</v>
      </c>
      <c r="B297" t="s">
        <v>213</v>
      </c>
      <c r="C297" t="s">
        <v>62</v>
      </c>
      <c r="D297" t="s">
        <v>63</v>
      </c>
      <c r="E297" s="1">
        <v>45640</v>
      </c>
      <c r="F297" s="24">
        <f t="shared" si="40"/>
        <v>2024</v>
      </c>
      <c r="G297" s="24" t="str">
        <f t="shared" si="41"/>
        <v>December</v>
      </c>
      <c r="H297" s="24" t="str">
        <f t="shared" si="42"/>
        <v>Saturday</v>
      </c>
      <c r="I297" s="22">
        <v>0.67112268518518514</v>
      </c>
      <c r="J297" s="24">
        <f t="shared" si="43"/>
        <v>16</v>
      </c>
      <c r="K297" s="24">
        <f t="shared" si="44"/>
        <v>6</v>
      </c>
      <c r="L297" s="24">
        <f t="shared" si="45"/>
        <v>25</v>
      </c>
      <c r="M297" t="s">
        <v>17</v>
      </c>
      <c r="N297" t="s">
        <v>18</v>
      </c>
      <c r="O297" s="24">
        <v>11</v>
      </c>
      <c r="P297" s="11">
        <v>506</v>
      </c>
      <c r="Q297" s="26">
        <f>VLOOKUP('Prepared Sales Dataset'!M297,'Product-cost'!A:B,2,FALSE)</f>
        <v>600</v>
      </c>
      <c r="R297" t="s">
        <v>28</v>
      </c>
      <c r="S297" t="s">
        <v>80</v>
      </c>
      <c r="T297" t="s">
        <v>44</v>
      </c>
      <c r="U297" t="s">
        <v>921</v>
      </c>
      <c r="V297" s="17">
        <f>P297*O297</f>
        <v>5566</v>
      </c>
      <c r="W297" s="19">
        <f>O297*Q297</f>
        <v>6600</v>
      </c>
      <c r="X297" s="13">
        <f>VLOOKUP(R297,Taxrate!A:B,2,FALSE)</f>
        <v>0.1</v>
      </c>
      <c r="Y297" s="15">
        <f t="shared" si="46"/>
        <v>556.6</v>
      </c>
      <c r="Z297" s="9">
        <f>VLOOKUP(M297,'Discount Rate'!A:B,2,FALSE)</f>
        <v>0.05</v>
      </c>
      <c r="AA297" s="11">
        <f t="shared" si="47"/>
        <v>278.3</v>
      </c>
      <c r="AB297" s="15">
        <f t="shared" si="48"/>
        <v>4731.1000000000004</v>
      </c>
      <c r="AC297" s="15">
        <f t="shared" si="49"/>
        <v>-1868.8999999999996</v>
      </c>
    </row>
    <row r="298" spans="1:29" x14ac:dyDescent="0.35">
      <c r="A298" t="s">
        <v>672</v>
      </c>
      <c r="B298" t="s">
        <v>355</v>
      </c>
      <c r="C298" t="s">
        <v>195</v>
      </c>
      <c r="D298" t="s">
        <v>63</v>
      </c>
      <c r="E298" s="1">
        <v>45818</v>
      </c>
      <c r="F298" s="24">
        <f t="shared" si="40"/>
        <v>2025</v>
      </c>
      <c r="G298" s="24" t="str">
        <f t="shared" si="41"/>
        <v>June</v>
      </c>
      <c r="H298" s="24" t="str">
        <f t="shared" si="42"/>
        <v>Tuesday</v>
      </c>
      <c r="I298" s="22">
        <v>0.69739583333333333</v>
      </c>
      <c r="J298" s="24">
        <f t="shared" si="43"/>
        <v>16</v>
      </c>
      <c r="K298" s="24">
        <f t="shared" si="44"/>
        <v>44</v>
      </c>
      <c r="L298" s="24">
        <f t="shared" si="45"/>
        <v>15</v>
      </c>
      <c r="M298" t="s">
        <v>26</v>
      </c>
      <c r="N298" t="s">
        <v>27</v>
      </c>
      <c r="O298" s="24">
        <v>2</v>
      </c>
      <c r="P298" s="11">
        <v>693.57</v>
      </c>
      <c r="Q298" s="26">
        <f>VLOOKUP('Prepared Sales Dataset'!M298,'Product-cost'!A:B,2,FALSE)</f>
        <v>300</v>
      </c>
      <c r="R298" t="s">
        <v>42</v>
      </c>
      <c r="S298" t="s">
        <v>241</v>
      </c>
      <c r="T298" t="s">
        <v>37</v>
      </c>
      <c r="U298" t="s">
        <v>921</v>
      </c>
      <c r="V298" s="17">
        <f>P298*O298</f>
        <v>1387.14</v>
      </c>
      <c r="W298" s="19">
        <f>O298*Q298</f>
        <v>600</v>
      </c>
      <c r="X298" s="13">
        <f>VLOOKUP(R298,Taxrate!A:B,2,FALSE)</f>
        <v>0.15</v>
      </c>
      <c r="Y298" s="15">
        <f t="shared" si="46"/>
        <v>208.071</v>
      </c>
      <c r="Z298" s="9">
        <f>VLOOKUP(M298,'Discount Rate'!A:B,2,FALSE)</f>
        <v>0.1</v>
      </c>
      <c r="AA298" s="11">
        <f t="shared" si="47"/>
        <v>138.71400000000003</v>
      </c>
      <c r="AB298" s="15">
        <f t="shared" si="48"/>
        <v>1040.355</v>
      </c>
      <c r="AC298" s="15">
        <f t="shared" si="49"/>
        <v>440.35500000000002</v>
      </c>
    </row>
    <row r="299" spans="1:29" x14ac:dyDescent="0.35">
      <c r="A299" t="s">
        <v>673</v>
      </c>
      <c r="B299" t="s">
        <v>674</v>
      </c>
      <c r="C299" t="s">
        <v>98</v>
      </c>
      <c r="D299" t="s">
        <v>99</v>
      </c>
      <c r="E299" s="1">
        <v>46330</v>
      </c>
      <c r="F299" s="24">
        <f t="shared" si="40"/>
        <v>2026</v>
      </c>
      <c r="G299" s="24" t="str">
        <f t="shared" si="41"/>
        <v>November</v>
      </c>
      <c r="H299" s="24" t="str">
        <f t="shared" si="42"/>
        <v>Wednesday</v>
      </c>
      <c r="I299" s="22">
        <v>0.56366898148148148</v>
      </c>
      <c r="J299" s="24">
        <f t="shared" si="43"/>
        <v>13</v>
      </c>
      <c r="K299" s="24">
        <f t="shared" si="44"/>
        <v>31</v>
      </c>
      <c r="L299" s="24">
        <f t="shared" si="45"/>
        <v>41</v>
      </c>
      <c r="M299" t="s">
        <v>17</v>
      </c>
      <c r="N299" t="s">
        <v>18</v>
      </c>
      <c r="O299" s="24">
        <v>8</v>
      </c>
      <c r="P299" s="11">
        <v>1243.6300000000001</v>
      </c>
      <c r="Q299" s="26">
        <f>VLOOKUP('Prepared Sales Dataset'!M299,'Product-cost'!A:B,2,FALSE)</f>
        <v>600</v>
      </c>
      <c r="R299" t="s">
        <v>55</v>
      </c>
      <c r="S299" t="s">
        <v>216</v>
      </c>
      <c r="U299" t="s">
        <v>923</v>
      </c>
      <c r="V299" s="17">
        <f>P299*O299</f>
        <v>9949.0400000000009</v>
      </c>
      <c r="W299" s="19">
        <f>O299*Q299</f>
        <v>4800</v>
      </c>
      <c r="X299" s="13">
        <f>VLOOKUP(R299,Taxrate!A:B,2,FALSE)</f>
        <v>7.0000000000000007E-2</v>
      </c>
      <c r="Y299" s="15">
        <f t="shared" si="46"/>
        <v>696.43280000000016</v>
      </c>
      <c r="Z299" s="9">
        <f>VLOOKUP(M299,'Discount Rate'!A:B,2,FALSE)</f>
        <v>0.05</v>
      </c>
      <c r="AA299" s="11">
        <f t="shared" si="47"/>
        <v>497.45200000000006</v>
      </c>
      <c r="AB299" s="15">
        <f t="shared" si="48"/>
        <v>8755.1552000000011</v>
      </c>
      <c r="AC299" s="15">
        <f t="shared" si="49"/>
        <v>3955.1552000000011</v>
      </c>
    </row>
    <row r="300" spans="1:29" x14ac:dyDescent="0.35">
      <c r="A300" t="s">
        <v>675</v>
      </c>
      <c r="B300" t="s">
        <v>476</v>
      </c>
      <c r="C300" t="s">
        <v>88</v>
      </c>
      <c r="D300" t="s">
        <v>41</v>
      </c>
      <c r="E300" s="1">
        <v>46094</v>
      </c>
      <c r="F300" s="24">
        <f t="shared" si="40"/>
        <v>2026</v>
      </c>
      <c r="G300" s="24" t="str">
        <f t="shared" si="41"/>
        <v>March</v>
      </c>
      <c r="H300" s="24" t="str">
        <f t="shared" si="42"/>
        <v>Friday</v>
      </c>
      <c r="I300" s="22">
        <v>0.61525462962962962</v>
      </c>
      <c r="J300" s="24">
        <f t="shared" si="43"/>
        <v>14</v>
      </c>
      <c r="K300" s="24">
        <f t="shared" si="44"/>
        <v>45</v>
      </c>
      <c r="L300" s="24">
        <f t="shared" si="45"/>
        <v>58</v>
      </c>
      <c r="M300" t="s">
        <v>33</v>
      </c>
      <c r="N300" t="s">
        <v>34</v>
      </c>
      <c r="O300" s="24">
        <v>10</v>
      </c>
      <c r="P300" s="11">
        <v>506</v>
      </c>
      <c r="Q300" s="26">
        <f>VLOOKUP('Prepared Sales Dataset'!M300,'Product-cost'!A:B,2,FALSE)</f>
        <v>200</v>
      </c>
      <c r="R300" t="s">
        <v>59</v>
      </c>
      <c r="S300" t="s">
        <v>437</v>
      </c>
      <c r="T300" t="s">
        <v>30</v>
      </c>
      <c r="U300" t="s">
        <v>921</v>
      </c>
      <c r="V300" s="17">
        <f>P300*O300</f>
        <v>5060</v>
      </c>
      <c r="W300" s="19">
        <f>O300*Q300</f>
        <v>2000</v>
      </c>
      <c r="X300" s="13">
        <f>VLOOKUP(R300,Taxrate!A:B,2,FALSE)</f>
        <v>0.12</v>
      </c>
      <c r="Y300" s="15">
        <f t="shared" si="46"/>
        <v>607.19999999999993</v>
      </c>
      <c r="Z300" s="9">
        <f>VLOOKUP(M300,'Discount Rate'!A:B,2,FALSE)</f>
        <v>0.08</v>
      </c>
      <c r="AA300" s="11">
        <f t="shared" si="47"/>
        <v>404.8</v>
      </c>
      <c r="AB300" s="15">
        <f t="shared" si="48"/>
        <v>4048</v>
      </c>
      <c r="AC300" s="15">
        <f t="shared" si="49"/>
        <v>2048</v>
      </c>
    </row>
    <row r="301" spans="1:29" x14ac:dyDescent="0.35">
      <c r="A301" t="s">
        <v>676</v>
      </c>
      <c r="B301" t="s">
        <v>677</v>
      </c>
      <c r="C301" t="s">
        <v>40</v>
      </c>
      <c r="D301" t="s">
        <v>41</v>
      </c>
      <c r="E301" s="1">
        <v>45504</v>
      </c>
      <c r="F301" s="24">
        <f t="shared" si="40"/>
        <v>2024</v>
      </c>
      <c r="G301" s="24" t="str">
        <f t="shared" si="41"/>
        <v>July</v>
      </c>
      <c r="H301" s="24" t="str">
        <f t="shared" si="42"/>
        <v>Wednesday</v>
      </c>
      <c r="I301" s="22">
        <v>0.47759259259259257</v>
      </c>
      <c r="J301" s="24">
        <f t="shared" si="43"/>
        <v>11</v>
      </c>
      <c r="K301" s="24">
        <f t="shared" si="44"/>
        <v>27</v>
      </c>
      <c r="L301" s="24">
        <f t="shared" si="45"/>
        <v>44</v>
      </c>
      <c r="M301" t="s">
        <v>49</v>
      </c>
      <c r="N301" t="s">
        <v>50</v>
      </c>
      <c r="O301" s="24">
        <v>6</v>
      </c>
      <c r="P301" s="11">
        <v>220.66</v>
      </c>
      <c r="Q301" s="26">
        <f>VLOOKUP('Prepared Sales Dataset'!M301,'Product-cost'!A:B,2,FALSE)</f>
        <v>150</v>
      </c>
      <c r="R301" t="s">
        <v>42</v>
      </c>
      <c r="S301" t="s">
        <v>90</v>
      </c>
      <c r="T301" t="s">
        <v>74</v>
      </c>
      <c r="U301" t="s">
        <v>922</v>
      </c>
      <c r="V301" s="17">
        <f>P301*O301</f>
        <v>1323.96</v>
      </c>
      <c r="W301" s="19">
        <f>O301*Q301</f>
        <v>900</v>
      </c>
      <c r="X301" s="13">
        <f>VLOOKUP(R301,Taxrate!A:B,2,FALSE)</f>
        <v>0.15</v>
      </c>
      <c r="Y301" s="15">
        <f t="shared" si="46"/>
        <v>198.59399999999999</v>
      </c>
      <c r="Z301" s="9">
        <f>VLOOKUP(M301,'Discount Rate'!A:B,2,FALSE)</f>
        <v>7.0000000000000007E-2</v>
      </c>
      <c r="AA301" s="11">
        <f t="shared" si="47"/>
        <v>92.677200000000013</v>
      </c>
      <c r="AB301" s="15">
        <f t="shared" si="48"/>
        <v>1032.6887999999999</v>
      </c>
      <c r="AC301" s="15">
        <f t="shared" si="49"/>
        <v>132.6887999999999</v>
      </c>
    </row>
    <row r="302" spans="1:29" x14ac:dyDescent="0.35">
      <c r="A302" t="s">
        <v>678</v>
      </c>
      <c r="B302" t="s">
        <v>679</v>
      </c>
      <c r="C302" t="s">
        <v>139</v>
      </c>
      <c r="D302" t="s">
        <v>25</v>
      </c>
      <c r="E302" s="1">
        <v>46299</v>
      </c>
      <c r="F302" s="24">
        <f t="shared" si="40"/>
        <v>2026</v>
      </c>
      <c r="G302" s="24" t="str">
        <f t="shared" si="41"/>
        <v>October</v>
      </c>
      <c r="H302" s="24" t="str">
        <f t="shared" si="42"/>
        <v>Sunday</v>
      </c>
      <c r="I302" s="22">
        <v>0.41671296296296295</v>
      </c>
      <c r="J302" s="24">
        <f t="shared" si="43"/>
        <v>10</v>
      </c>
      <c r="K302" s="24">
        <f t="shared" si="44"/>
        <v>0</v>
      </c>
      <c r="L302" s="24">
        <f t="shared" si="45"/>
        <v>4</v>
      </c>
      <c r="M302" t="s">
        <v>17</v>
      </c>
      <c r="N302" t="s">
        <v>18</v>
      </c>
      <c r="O302" s="24">
        <v>15</v>
      </c>
      <c r="P302" s="11">
        <v>1018.37</v>
      </c>
      <c r="Q302" s="26">
        <f>VLOOKUP('Prepared Sales Dataset'!M302,'Product-cost'!A:B,2,FALSE)</f>
        <v>600</v>
      </c>
      <c r="R302" t="s">
        <v>35</v>
      </c>
      <c r="S302" t="s">
        <v>155</v>
      </c>
      <c r="T302" t="s">
        <v>95</v>
      </c>
      <c r="U302" t="s">
        <v>921</v>
      </c>
      <c r="V302" s="17">
        <f>P302*O302</f>
        <v>15275.55</v>
      </c>
      <c r="W302" s="19">
        <f>O302*Q302</f>
        <v>9000</v>
      </c>
      <c r="X302" s="13">
        <f>VLOOKUP(R302,Taxrate!A:B,2,FALSE)</f>
        <v>0.2</v>
      </c>
      <c r="Y302" s="15">
        <f t="shared" si="46"/>
        <v>3055.11</v>
      </c>
      <c r="Z302" s="9">
        <f>VLOOKUP(M302,'Discount Rate'!A:B,2,FALSE)</f>
        <v>0.05</v>
      </c>
      <c r="AA302" s="11">
        <f t="shared" si="47"/>
        <v>763.77750000000003</v>
      </c>
      <c r="AB302" s="15">
        <f t="shared" si="48"/>
        <v>11456.662499999999</v>
      </c>
      <c r="AC302" s="15">
        <f t="shared" si="49"/>
        <v>2456.6624999999985</v>
      </c>
    </row>
    <row r="303" spans="1:29" x14ac:dyDescent="0.35">
      <c r="A303" t="s">
        <v>680</v>
      </c>
      <c r="B303" t="s">
        <v>469</v>
      </c>
      <c r="C303" t="s">
        <v>62</v>
      </c>
      <c r="D303" t="s">
        <v>63</v>
      </c>
      <c r="E303" s="1">
        <v>45970</v>
      </c>
      <c r="F303" s="24">
        <f t="shared" si="40"/>
        <v>2025</v>
      </c>
      <c r="G303" s="24" t="str">
        <f t="shared" si="41"/>
        <v>November</v>
      </c>
      <c r="H303" s="24" t="str">
        <f t="shared" si="42"/>
        <v>Sunday</v>
      </c>
      <c r="I303" s="22">
        <v>0.70310185185185181</v>
      </c>
      <c r="J303" s="24">
        <f t="shared" si="43"/>
        <v>16</v>
      </c>
      <c r="K303" s="24">
        <f t="shared" si="44"/>
        <v>52</v>
      </c>
      <c r="L303" s="24">
        <f t="shared" si="45"/>
        <v>28</v>
      </c>
      <c r="M303" t="s">
        <v>78</v>
      </c>
      <c r="N303" t="s">
        <v>79</v>
      </c>
      <c r="O303" s="24">
        <v>3</v>
      </c>
      <c r="P303" s="11">
        <v>120.56</v>
      </c>
      <c r="Q303" s="26">
        <f>VLOOKUP('Prepared Sales Dataset'!M303,'Product-cost'!A:B,2,FALSE)</f>
        <v>50</v>
      </c>
      <c r="R303" t="s">
        <v>42</v>
      </c>
      <c r="S303" t="s">
        <v>80</v>
      </c>
      <c r="T303" t="s">
        <v>231</v>
      </c>
      <c r="U303" t="s">
        <v>922</v>
      </c>
      <c r="V303" s="17">
        <f>P303*O303</f>
        <v>361.68</v>
      </c>
      <c r="W303" s="19">
        <f>O303*Q303</f>
        <v>150</v>
      </c>
      <c r="X303" s="13">
        <f>VLOOKUP(R303,Taxrate!A:B,2,FALSE)</f>
        <v>0.15</v>
      </c>
      <c r="Y303" s="15">
        <f t="shared" si="46"/>
        <v>54.252000000000002</v>
      </c>
      <c r="Z303" s="9">
        <f>VLOOKUP(M303,'Discount Rate'!A:B,2,FALSE)</f>
        <v>0.03</v>
      </c>
      <c r="AA303" s="11">
        <f t="shared" si="47"/>
        <v>10.8504</v>
      </c>
      <c r="AB303" s="15">
        <f t="shared" si="48"/>
        <v>296.57760000000002</v>
      </c>
      <c r="AC303" s="15">
        <f t="shared" si="49"/>
        <v>146.57760000000002</v>
      </c>
    </row>
    <row r="304" spans="1:29" x14ac:dyDescent="0.35">
      <c r="A304" t="s">
        <v>681</v>
      </c>
      <c r="B304" t="s">
        <v>682</v>
      </c>
      <c r="C304" t="s">
        <v>179</v>
      </c>
      <c r="D304" t="s">
        <v>41</v>
      </c>
      <c r="E304" s="1">
        <v>46370</v>
      </c>
      <c r="F304" s="24">
        <f t="shared" si="40"/>
        <v>2026</v>
      </c>
      <c r="G304" s="24" t="str">
        <f t="shared" si="41"/>
        <v>December</v>
      </c>
      <c r="H304" s="24" t="str">
        <f t="shared" si="42"/>
        <v>Monday</v>
      </c>
      <c r="I304" s="22">
        <v>0.40104166666666669</v>
      </c>
      <c r="J304" s="24">
        <f t="shared" si="43"/>
        <v>9</v>
      </c>
      <c r="K304" s="24">
        <f t="shared" si="44"/>
        <v>37</v>
      </c>
      <c r="L304" s="24">
        <f t="shared" si="45"/>
        <v>30</v>
      </c>
      <c r="M304" t="s">
        <v>17</v>
      </c>
      <c r="N304" t="s">
        <v>18</v>
      </c>
      <c r="O304" s="24">
        <v>12</v>
      </c>
      <c r="P304" s="11">
        <v>1229.68</v>
      </c>
      <c r="Q304" s="26">
        <f>VLOOKUP('Prepared Sales Dataset'!M304,'Product-cost'!A:B,2,FALSE)</f>
        <v>600</v>
      </c>
      <c r="R304" t="s">
        <v>28</v>
      </c>
      <c r="S304" t="s">
        <v>43</v>
      </c>
      <c r="T304" t="s">
        <v>249</v>
      </c>
      <c r="U304" t="s">
        <v>921</v>
      </c>
      <c r="V304" s="17">
        <f>P304*O304</f>
        <v>14756.16</v>
      </c>
      <c r="W304" s="19">
        <f>O304*Q304</f>
        <v>7200</v>
      </c>
      <c r="X304" s="13">
        <f>VLOOKUP(R304,Taxrate!A:B,2,FALSE)</f>
        <v>0.1</v>
      </c>
      <c r="Y304" s="15">
        <f t="shared" si="46"/>
        <v>1475.616</v>
      </c>
      <c r="Z304" s="9">
        <f>VLOOKUP(M304,'Discount Rate'!A:B,2,FALSE)</f>
        <v>0.05</v>
      </c>
      <c r="AA304" s="11">
        <f t="shared" si="47"/>
        <v>737.80799999999999</v>
      </c>
      <c r="AB304" s="15">
        <f t="shared" si="48"/>
        <v>12542.736000000001</v>
      </c>
      <c r="AC304" s="15">
        <f t="shared" si="49"/>
        <v>5342.7360000000008</v>
      </c>
    </row>
    <row r="305" spans="1:29" x14ac:dyDescent="0.35">
      <c r="A305" t="s">
        <v>683</v>
      </c>
      <c r="B305" t="s">
        <v>451</v>
      </c>
      <c r="C305" t="s">
        <v>70</v>
      </c>
      <c r="D305" t="s">
        <v>71</v>
      </c>
      <c r="E305" s="1">
        <v>46182</v>
      </c>
      <c r="F305" s="24">
        <f t="shared" si="40"/>
        <v>2026</v>
      </c>
      <c r="G305" s="24" t="str">
        <f t="shared" si="41"/>
        <v>June</v>
      </c>
      <c r="H305" s="24" t="str">
        <f t="shared" si="42"/>
        <v>Tuesday</v>
      </c>
      <c r="I305" s="22">
        <v>0.56584490740740745</v>
      </c>
      <c r="J305" s="24">
        <f t="shared" si="43"/>
        <v>13</v>
      </c>
      <c r="K305" s="24">
        <f t="shared" si="44"/>
        <v>34</v>
      </c>
      <c r="L305" s="24">
        <f t="shared" si="45"/>
        <v>49</v>
      </c>
      <c r="M305" t="s">
        <v>17</v>
      </c>
      <c r="N305" t="s">
        <v>18</v>
      </c>
      <c r="O305" s="24">
        <v>9</v>
      </c>
      <c r="P305" s="11">
        <v>1086.98</v>
      </c>
      <c r="Q305" s="26">
        <f>VLOOKUP('Prepared Sales Dataset'!M305,'Product-cost'!A:B,2,FALSE)</f>
        <v>600</v>
      </c>
      <c r="R305" t="s">
        <v>28</v>
      </c>
      <c r="S305" t="s">
        <v>73</v>
      </c>
      <c r="U305" t="s">
        <v>923</v>
      </c>
      <c r="V305" s="17">
        <f>P305*O305</f>
        <v>9782.82</v>
      </c>
      <c r="W305" s="19">
        <f>O305*Q305</f>
        <v>5400</v>
      </c>
      <c r="X305" s="13">
        <f>VLOOKUP(R305,Taxrate!A:B,2,FALSE)</f>
        <v>0.1</v>
      </c>
      <c r="Y305" s="15">
        <f t="shared" si="46"/>
        <v>978.28200000000004</v>
      </c>
      <c r="Z305" s="9">
        <f>VLOOKUP(M305,'Discount Rate'!A:B,2,FALSE)</f>
        <v>0.05</v>
      </c>
      <c r="AA305" s="11">
        <f t="shared" si="47"/>
        <v>489.14100000000002</v>
      </c>
      <c r="AB305" s="15">
        <f t="shared" si="48"/>
        <v>8315.396999999999</v>
      </c>
      <c r="AC305" s="15">
        <f t="shared" si="49"/>
        <v>2915.396999999999</v>
      </c>
    </row>
    <row r="306" spans="1:29" x14ac:dyDescent="0.35">
      <c r="A306" t="s">
        <v>684</v>
      </c>
      <c r="B306" t="s">
        <v>685</v>
      </c>
      <c r="C306" t="s">
        <v>179</v>
      </c>
      <c r="D306" t="s">
        <v>41</v>
      </c>
      <c r="E306" s="1">
        <v>45052</v>
      </c>
      <c r="F306" s="24">
        <f t="shared" si="40"/>
        <v>2023</v>
      </c>
      <c r="G306" s="24" t="str">
        <f t="shared" si="41"/>
        <v>May</v>
      </c>
      <c r="H306" s="24" t="str">
        <f t="shared" si="42"/>
        <v>Saturday</v>
      </c>
      <c r="I306" s="22">
        <v>0.71569444444444441</v>
      </c>
      <c r="J306" s="24">
        <f t="shared" si="43"/>
        <v>17</v>
      </c>
      <c r="K306" s="24">
        <f t="shared" si="44"/>
        <v>10</v>
      </c>
      <c r="L306" s="24">
        <f t="shared" si="45"/>
        <v>36</v>
      </c>
      <c r="M306" t="s">
        <v>17</v>
      </c>
      <c r="N306" t="s">
        <v>18</v>
      </c>
      <c r="O306" s="24">
        <v>5</v>
      </c>
      <c r="P306" s="11">
        <v>1112.1600000000001</v>
      </c>
      <c r="Q306" s="26">
        <f>VLOOKUP('Prepared Sales Dataset'!M306,'Product-cost'!A:B,2,FALSE)</f>
        <v>600</v>
      </c>
      <c r="R306" t="s">
        <v>28</v>
      </c>
      <c r="S306" t="s">
        <v>43</v>
      </c>
      <c r="U306" t="s">
        <v>923</v>
      </c>
      <c r="V306" s="17">
        <f>P306*O306</f>
        <v>5560.8</v>
      </c>
      <c r="W306" s="19">
        <f>O306*Q306</f>
        <v>3000</v>
      </c>
      <c r="X306" s="13">
        <f>VLOOKUP(R306,Taxrate!A:B,2,FALSE)</f>
        <v>0.1</v>
      </c>
      <c r="Y306" s="15">
        <f t="shared" si="46"/>
        <v>556.08000000000004</v>
      </c>
      <c r="Z306" s="9">
        <f>VLOOKUP(M306,'Discount Rate'!A:B,2,FALSE)</f>
        <v>0.05</v>
      </c>
      <c r="AA306" s="11">
        <f t="shared" si="47"/>
        <v>278.04000000000002</v>
      </c>
      <c r="AB306" s="15">
        <f t="shared" si="48"/>
        <v>4726.68</v>
      </c>
      <c r="AC306" s="15">
        <f t="shared" si="49"/>
        <v>1726.6800000000003</v>
      </c>
    </row>
    <row r="307" spans="1:29" x14ac:dyDescent="0.35">
      <c r="A307" t="s">
        <v>686</v>
      </c>
      <c r="B307" t="s">
        <v>687</v>
      </c>
      <c r="C307" t="s">
        <v>407</v>
      </c>
      <c r="D307" t="s">
        <v>48</v>
      </c>
      <c r="E307" s="1">
        <v>45155</v>
      </c>
      <c r="F307" s="24">
        <f t="shared" si="40"/>
        <v>2023</v>
      </c>
      <c r="G307" s="24" t="str">
        <f t="shared" si="41"/>
        <v>August</v>
      </c>
      <c r="H307" s="24" t="str">
        <f t="shared" si="42"/>
        <v>Thursday</v>
      </c>
      <c r="I307" s="22">
        <v>0.74107638888888894</v>
      </c>
      <c r="J307" s="24">
        <f t="shared" si="43"/>
        <v>17</v>
      </c>
      <c r="K307" s="24">
        <f t="shared" si="44"/>
        <v>47</v>
      </c>
      <c r="L307" s="24">
        <f t="shared" si="45"/>
        <v>9</v>
      </c>
      <c r="M307" t="s">
        <v>78</v>
      </c>
      <c r="N307" t="s">
        <v>79</v>
      </c>
      <c r="O307" s="24">
        <v>3</v>
      </c>
      <c r="P307" s="11">
        <v>172.56</v>
      </c>
      <c r="Q307" s="26">
        <f>VLOOKUP('Prepared Sales Dataset'!M307,'Product-cost'!A:B,2,FALSE)</f>
        <v>50</v>
      </c>
      <c r="R307" t="s">
        <v>42</v>
      </c>
      <c r="S307" t="s">
        <v>94</v>
      </c>
      <c r="T307" t="s">
        <v>249</v>
      </c>
      <c r="U307" t="s">
        <v>921</v>
      </c>
      <c r="V307" s="17">
        <f>P307*O307</f>
        <v>517.68000000000006</v>
      </c>
      <c r="W307" s="19">
        <f>O307*Q307</f>
        <v>150</v>
      </c>
      <c r="X307" s="13">
        <f>VLOOKUP(R307,Taxrate!A:B,2,FALSE)</f>
        <v>0.15</v>
      </c>
      <c r="Y307" s="15">
        <f t="shared" si="46"/>
        <v>77.652000000000001</v>
      </c>
      <c r="Z307" s="9">
        <f>VLOOKUP(M307,'Discount Rate'!A:B,2,FALSE)</f>
        <v>0.03</v>
      </c>
      <c r="AA307" s="11">
        <f t="shared" si="47"/>
        <v>15.530400000000002</v>
      </c>
      <c r="AB307" s="15">
        <f t="shared" si="48"/>
        <v>424.49760000000003</v>
      </c>
      <c r="AC307" s="15">
        <f t="shared" si="49"/>
        <v>274.49760000000003</v>
      </c>
    </row>
    <row r="308" spans="1:29" x14ac:dyDescent="0.35">
      <c r="A308" t="s">
        <v>688</v>
      </c>
      <c r="B308" t="s">
        <v>689</v>
      </c>
      <c r="C308" t="s">
        <v>77</v>
      </c>
      <c r="D308" t="s">
        <v>63</v>
      </c>
      <c r="E308" s="1">
        <v>45711</v>
      </c>
      <c r="F308" s="24">
        <f t="shared" si="40"/>
        <v>2025</v>
      </c>
      <c r="G308" s="24" t="str">
        <f t="shared" si="41"/>
        <v>February</v>
      </c>
      <c r="H308" s="24" t="str">
        <f t="shared" si="42"/>
        <v>Sunday</v>
      </c>
      <c r="I308" s="22">
        <v>0.76997685185185183</v>
      </c>
      <c r="J308" s="24">
        <f t="shared" si="43"/>
        <v>18</v>
      </c>
      <c r="K308" s="24">
        <f t="shared" si="44"/>
        <v>28</v>
      </c>
      <c r="L308" s="24">
        <f t="shared" si="45"/>
        <v>46</v>
      </c>
      <c r="M308" t="s">
        <v>26</v>
      </c>
      <c r="N308" t="s">
        <v>27</v>
      </c>
      <c r="O308" s="24">
        <v>12</v>
      </c>
      <c r="P308" s="11">
        <v>496.3</v>
      </c>
      <c r="Q308" s="26">
        <f>VLOOKUP('Prepared Sales Dataset'!M308,'Product-cost'!A:B,2,FALSE)</f>
        <v>300</v>
      </c>
      <c r="R308" t="s">
        <v>28</v>
      </c>
      <c r="S308" t="s">
        <v>241</v>
      </c>
      <c r="T308" t="s">
        <v>142</v>
      </c>
      <c r="U308" t="s">
        <v>921</v>
      </c>
      <c r="V308" s="17">
        <f>P308*O308</f>
        <v>5955.6</v>
      </c>
      <c r="W308" s="19">
        <f>O308*Q308</f>
        <v>3600</v>
      </c>
      <c r="X308" s="13">
        <f>VLOOKUP(R308,Taxrate!A:B,2,FALSE)</f>
        <v>0.1</v>
      </c>
      <c r="Y308" s="15">
        <f t="shared" si="46"/>
        <v>595.56000000000006</v>
      </c>
      <c r="Z308" s="9">
        <f>VLOOKUP(M308,'Discount Rate'!A:B,2,FALSE)</f>
        <v>0.1</v>
      </c>
      <c r="AA308" s="11">
        <f t="shared" si="47"/>
        <v>595.56000000000006</v>
      </c>
      <c r="AB308" s="15">
        <f t="shared" si="48"/>
        <v>4764.4800000000005</v>
      </c>
      <c r="AC308" s="15">
        <f t="shared" si="49"/>
        <v>1164.4800000000005</v>
      </c>
    </row>
    <row r="309" spans="1:29" x14ac:dyDescent="0.35">
      <c r="A309" t="s">
        <v>690</v>
      </c>
      <c r="B309" t="s">
        <v>691</v>
      </c>
      <c r="C309" t="s">
        <v>24</v>
      </c>
      <c r="D309" t="s">
        <v>25</v>
      </c>
      <c r="E309" s="1">
        <v>46326</v>
      </c>
      <c r="F309" s="24">
        <f t="shared" si="40"/>
        <v>2026</v>
      </c>
      <c r="G309" s="24" t="str">
        <f t="shared" si="41"/>
        <v>October</v>
      </c>
      <c r="H309" s="24" t="str">
        <f t="shared" si="42"/>
        <v>Saturday</v>
      </c>
      <c r="I309" s="22">
        <v>0.63621527777777775</v>
      </c>
      <c r="J309" s="24">
        <f t="shared" si="43"/>
        <v>15</v>
      </c>
      <c r="K309" s="24">
        <f t="shared" si="44"/>
        <v>16</v>
      </c>
      <c r="L309" s="24">
        <f t="shared" si="45"/>
        <v>9</v>
      </c>
      <c r="M309" t="s">
        <v>49</v>
      </c>
      <c r="N309" t="s">
        <v>50</v>
      </c>
      <c r="O309" s="24">
        <v>1</v>
      </c>
      <c r="P309" s="11">
        <v>263.7</v>
      </c>
      <c r="Q309" s="26">
        <f>VLOOKUP('Prepared Sales Dataset'!M309,'Product-cost'!A:B,2,FALSE)</f>
        <v>150</v>
      </c>
      <c r="R309" t="s">
        <v>42</v>
      </c>
      <c r="S309" t="s">
        <v>29</v>
      </c>
      <c r="U309" t="s">
        <v>923</v>
      </c>
      <c r="V309" s="17">
        <f>P309*O309</f>
        <v>263.7</v>
      </c>
      <c r="W309" s="19">
        <f>O309*Q309</f>
        <v>150</v>
      </c>
      <c r="X309" s="13">
        <f>VLOOKUP(R309,Taxrate!A:B,2,FALSE)</f>
        <v>0.15</v>
      </c>
      <c r="Y309" s="15">
        <f t="shared" si="46"/>
        <v>39.555</v>
      </c>
      <c r="Z309" s="9">
        <f>VLOOKUP(M309,'Discount Rate'!A:B,2,FALSE)</f>
        <v>7.0000000000000007E-2</v>
      </c>
      <c r="AA309" s="11">
        <f t="shared" si="47"/>
        <v>18.459</v>
      </c>
      <c r="AB309" s="15">
        <f t="shared" si="48"/>
        <v>205.68599999999998</v>
      </c>
      <c r="AC309" s="15">
        <f t="shared" si="49"/>
        <v>55.685999999999979</v>
      </c>
    </row>
    <row r="310" spans="1:29" x14ac:dyDescent="0.35">
      <c r="A310" t="s">
        <v>692</v>
      </c>
      <c r="B310" t="s">
        <v>693</v>
      </c>
      <c r="C310" t="s">
        <v>106</v>
      </c>
      <c r="D310" t="s">
        <v>107</v>
      </c>
      <c r="E310" s="1">
        <v>45613</v>
      </c>
      <c r="F310" s="24">
        <f t="shared" si="40"/>
        <v>2024</v>
      </c>
      <c r="G310" s="24" t="str">
        <f t="shared" si="41"/>
        <v>November</v>
      </c>
      <c r="H310" s="24" t="str">
        <f t="shared" si="42"/>
        <v>Sunday</v>
      </c>
      <c r="I310" s="22">
        <v>0.53548611111111111</v>
      </c>
      <c r="J310" s="24">
        <f t="shared" si="43"/>
        <v>12</v>
      </c>
      <c r="K310" s="24">
        <f t="shared" si="44"/>
        <v>51</v>
      </c>
      <c r="L310" s="24">
        <f t="shared" si="45"/>
        <v>6</v>
      </c>
      <c r="M310" t="s">
        <v>33</v>
      </c>
      <c r="N310" t="s">
        <v>34</v>
      </c>
      <c r="O310" s="24">
        <v>7</v>
      </c>
      <c r="P310" s="11">
        <v>455.06</v>
      </c>
      <c r="Q310" s="26">
        <f>VLOOKUP('Prepared Sales Dataset'!M310,'Product-cost'!A:B,2,FALSE)</f>
        <v>200</v>
      </c>
      <c r="R310" t="s">
        <v>35</v>
      </c>
      <c r="S310" t="s">
        <v>108</v>
      </c>
      <c r="T310" t="s">
        <v>133</v>
      </c>
      <c r="U310" t="s">
        <v>921</v>
      </c>
      <c r="V310" s="17">
        <f>P310*O310</f>
        <v>3185.42</v>
      </c>
      <c r="W310" s="19">
        <f>O310*Q310</f>
        <v>1400</v>
      </c>
      <c r="X310" s="13">
        <f>VLOOKUP(R310,Taxrate!A:B,2,FALSE)</f>
        <v>0.2</v>
      </c>
      <c r="Y310" s="15">
        <f t="shared" si="46"/>
        <v>637.08400000000006</v>
      </c>
      <c r="Z310" s="9">
        <f>VLOOKUP(M310,'Discount Rate'!A:B,2,FALSE)</f>
        <v>0.08</v>
      </c>
      <c r="AA310" s="11">
        <f t="shared" si="47"/>
        <v>254.83360000000002</v>
      </c>
      <c r="AB310" s="15">
        <f t="shared" si="48"/>
        <v>2293.5023999999999</v>
      </c>
      <c r="AC310" s="15">
        <f t="shared" si="49"/>
        <v>893.50239999999985</v>
      </c>
    </row>
    <row r="311" spans="1:29" x14ac:dyDescent="0.35">
      <c r="A311" t="s">
        <v>694</v>
      </c>
      <c r="B311" t="s">
        <v>695</v>
      </c>
      <c r="C311" t="s">
        <v>407</v>
      </c>
      <c r="D311" t="s">
        <v>48</v>
      </c>
      <c r="E311" s="1">
        <v>44951</v>
      </c>
      <c r="F311" s="24">
        <f t="shared" si="40"/>
        <v>2023</v>
      </c>
      <c r="G311" s="24" t="str">
        <f t="shared" si="41"/>
        <v>January</v>
      </c>
      <c r="H311" s="24" t="str">
        <f t="shared" si="42"/>
        <v>Wednesday</v>
      </c>
      <c r="I311" s="22">
        <v>0.3979861111111111</v>
      </c>
      <c r="J311" s="24">
        <f t="shared" si="43"/>
        <v>9</v>
      </c>
      <c r="K311" s="24">
        <f t="shared" si="44"/>
        <v>33</v>
      </c>
      <c r="L311" s="24">
        <f t="shared" si="45"/>
        <v>6</v>
      </c>
      <c r="M311" t="s">
        <v>78</v>
      </c>
      <c r="N311" t="s">
        <v>79</v>
      </c>
      <c r="O311" s="24">
        <v>12</v>
      </c>
      <c r="P311" s="11">
        <v>134.47999999999999</v>
      </c>
      <c r="Q311" s="26">
        <f>VLOOKUP('Prepared Sales Dataset'!M311,'Product-cost'!A:B,2,FALSE)</f>
        <v>50</v>
      </c>
      <c r="R311" t="s">
        <v>55</v>
      </c>
      <c r="S311" t="s">
        <v>85</v>
      </c>
      <c r="T311" t="s">
        <v>74</v>
      </c>
      <c r="U311" t="s">
        <v>922</v>
      </c>
      <c r="V311" s="17">
        <f>P311*O311</f>
        <v>1613.7599999999998</v>
      </c>
      <c r="W311" s="19">
        <f>O311*Q311</f>
        <v>600</v>
      </c>
      <c r="X311" s="13">
        <f>VLOOKUP(R311,Taxrate!A:B,2,FALSE)</f>
        <v>7.0000000000000007E-2</v>
      </c>
      <c r="Y311" s="15">
        <f t="shared" si="46"/>
        <v>112.9632</v>
      </c>
      <c r="Z311" s="9">
        <f>VLOOKUP(M311,'Discount Rate'!A:B,2,FALSE)</f>
        <v>0.03</v>
      </c>
      <c r="AA311" s="11">
        <f t="shared" si="47"/>
        <v>48.41279999999999</v>
      </c>
      <c r="AB311" s="15">
        <f t="shared" si="48"/>
        <v>1452.3839999999998</v>
      </c>
      <c r="AC311" s="15">
        <f t="shared" si="49"/>
        <v>852.38399999999979</v>
      </c>
    </row>
    <row r="312" spans="1:29" x14ac:dyDescent="0.35">
      <c r="A312" t="s">
        <v>697</v>
      </c>
      <c r="B312" t="s">
        <v>406</v>
      </c>
      <c r="C312" t="s">
        <v>70</v>
      </c>
      <c r="D312" t="s">
        <v>71</v>
      </c>
      <c r="E312" s="1">
        <v>45696</v>
      </c>
      <c r="F312" s="24">
        <f t="shared" si="40"/>
        <v>2025</v>
      </c>
      <c r="G312" s="24" t="str">
        <f t="shared" si="41"/>
        <v>February</v>
      </c>
      <c r="H312" s="24" t="str">
        <f t="shared" si="42"/>
        <v>Saturday</v>
      </c>
      <c r="I312" s="22">
        <v>0.40568287037037037</v>
      </c>
      <c r="J312" s="24">
        <f t="shared" si="43"/>
        <v>9</v>
      </c>
      <c r="K312" s="24">
        <f t="shared" si="44"/>
        <v>44</v>
      </c>
      <c r="L312" s="24">
        <f t="shared" si="45"/>
        <v>11</v>
      </c>
      <c r="M312" t="s">
        <v>33</v>
      </c>
      <c r="N312" t="s">
        <v>34</v>
      </c>
      <c r="O312" s="24">
        <v>11</v>
      </c>
      <c r="P312" s="11">
        <v>447.76</v>
      </c>
      <c r="Q312" s="26">
        <f>VLOOKUP('Prepared Sales Dataset'!M312,'Product-cost'!A:B,2,FALSE)</f>
        <v>200</v>
      </c>
      <c r="R312" t="s">
        <v>28</v>
      </c>
      <c r="S312" t="s">
        <v>190</v>
      </c>
      <c r="T312" t="s">
        <v>133</v>
      </c>
      <c r="U312" t="s">
        <v>921</v>
      </c>
      <c r="V312" s="17">
        <f>P312*O312</f>
        <v>4925.3599999999997</v>
      </c>
      <c r="W312" s="19">
        <f>O312*Q312</f>
        <v>2200</v>
      </c>
      <c r="X312" s="13">
        <f>VLOOKUP(R312,Taxrate!A:B,2,FALSE)</f>
        <v>0.1</v>
      </c>
      <c r="Y312" s="15">
        <f t="shared" si="46"/>
        <v>492.536</v>
      </c>
      <c r="Z312" s="9">
        <f>VLOOKUP(M312,'Discount Rate'!A:B,2,FALSE)</f>
        <v>0.08</v>
      </c>
      <c r="AA312" s="11">
        <f t="shared" si="47"/>
        <v>394.02879999999999</v>
      </c>
      <c r="AB312" s="15">
        <f t="shared" si="48"/>
        <v>4038.7951999999996</v>
      </c>
      <c r="AC312" s="15">
        <f t="shared" si="49"/>
        <v>1838.7951999999996</v>
      </c>
    </row>
    <row r="313" spans="1:29" x14ac:dyDescent="0.35">
      <c r="A313" t="s">
        <v>698</v>
      </c>
      <c r="B313" t="s">
        <v>418</v>
      </c>
      <c r="C313" t="s">
        <v>169</v>
      </c>
      <c r="D313" t="s">
        <v>170</v>
      </c>
      <c r="E313" s="1">
        <v>45608</v>
      </c>
      <c r="F313" s="24">
        <f t="shared" si="40"/>
        <v>2024</v>
      </c>
      <c r="G313" s="24" t="str">
        <f t="shared" si="41"/>
        <v>November</v>
      </c>
      <c r="H313" s="24" t="str">
        <f t="shared" si="42"/>
        <v>Tuesday</v>
      </c>
      <c r="I313" s="22">
        <v>0.53629629629629627</v>
      </c>
      <c r="J313" s="24">
        <f t="shared" si="43"/>
        <v>12</v>
      </c>
      <c r="K313" s="24">
        <f t="shared" si="44"/>
        <v>52</v>
      </c>
      <c r="L313" s="24">
        <f t="shared" si="45"/>
        <v>16</v>
      </c>
      <c r="M313" t="s">
        <v>26</v>
      </c>
      <c r="N313" t="s">
        <v>27</v>
      </c>
      <c r="O313" s="24">
        <v>8</v>
      </c>
      <c r="P313" s="11">
        <v>540.20000000000005</v>
      </c>
      <c r="Q313" s="26">
        <f>VLOOKUP('Prepared Sales Dataset'!M313,'Product-cost'!A:B,2,FALSE)</f>
        <v>300</v>
      </c>
      <c r="R313" t="s">
        <v>42</v>
      </c>
      <c r="S313" t="s">
        <v>171</v>
      </c>
      <c r="T313" t="s">
        <v>231</v>
      </c>
      <c r="U313" t="s">
        <v>922</v>
      </c>
      <c r="V313" s="17">
        <f>P313*O313</f>
        <v>4321.6000000000004</v>
      </c>
      <c r="W313" s="19">
        <f>O313*Q313</f>
        <v>2400</v>
      </c>
      <c r="X313" s="13">
        <f>VLOOKUP(R313,Taxrate!A:B,2,FALSE)</f>
        <v>0.15</v>
      </c>
      <c r="Y313" s="15">
        <f t="shared" si="46"/>
        <v>648.24</v>
      </c>
      <c r="Z313" s="9">
        <f>VLOOKUP(M313,'Discount Rate'!A:B,2,FALSE)</f>
        <v>0.1</v>
      </c>
      <c r="AA313" s="11">
        <f t="shared" si="47"/>
        <v>432.16000000000008</v>
      </c>
      <c r="AB313" s="15">
        <f t="shared" si="48"/>
        <v>3241.2000000000003</v>
      </c>
      <c r="AC313" s="15">
        <f t="shared" si="49"/>
        <v>841.20000000000027</v>
      </c>
    </row>
    <row r="314" spans="1:29" x14ac:dyDescent="0.35">
      <c r="A314" t="s">
        <v>699</v>
      </c>
      <c r="B314" t="s">
        <v>700</v>
      </c>
      <c r="C314" t="s">
        <v>205</v>
      </c>
      <c r="D314" t="s">
        <v>170</v>
      </c>
      <c r="E314" s="1">
        <v>44998</v>
      </c>
      <c r="F314" s="24">
        <f t="shared" si="40"/>
        <v>2023</v>
      </c>
      <c r="G314" s="24" t="str">
        <f t="shared" si="41"/>
        <v>March</v>
      </c>
      <c r="H314" s="24" t="str">
        <f t="shared" si="42"/>
        <v>Monday</v>
      </c>
      <c r="I314" s="22">
        <v>0.40053240740740742</v>
      </c>
      <c r="J314" s="24">
        <f t="shared" si="43"/>
        <v>9</v>
      </c>
      <c r="K314" s="24">
        <f t="shared" si="44"/>
        <v>36</v>
      </c>
      <c r="L314" s="24">
        <f t="shared" si="45"/>
        <v>46</v>
      </c>
      <c r="M314" t="s">
        <v>33</v>
      </c>
      <c r="N314" t="s">
        <v>34</v>
      </c>
      <c r="O314" s="24">
        <v>1</v>
      </c>
      <c r="P314" s="11">
        <v>349.77</v>
      </c>
      <c r="Q314" s="26">
        <f>VLOOKUP('Prepared Sales Dataset'!M314,'Product-cost'!A:B,2,FALSE)</f>
        <v>200</v>
      </c>
      <c r="R314" t="s">
        <v>55</v>
      </c>
      <c r="S314" t="s">
        <v>272</v>
      </c>
      <c r="T314" t="s">
        <v>133</v>
      </c>
      <c r="U314" t="s">
        <v>921</v>
      </c>
      <c r="V314" s="17">
        <f>P314*O314</f>
        <v>349.77</v>
      </c>
      <c r="W314" s="19">
        <f>O314*Q314</f>
        <v>200</v>
      </c>
      <c r="X314" s="13">
        <f>VLOOKUP(R314,Taxrate!A:B,2,FALSE)</f>
        <v>7.0000000000000007E-2</v>
      </c>
      <c r="Y314" s="15">
        <f t="shared" si="46"/>
        <v>24.483900000000002</v>
      </c>
      <c r="Z314" s="9">
        <f>VLOOKUP(M314,'Discount Rate'!A:B,2,FALSE)</f>
        <v>0.08</v>
      </c>
      <c r="AA314" s="11">
        <f t="shared" si="47"/>
        <v>27.9816</v>
      </c>
      <c r="AB314" s="15">
        <f t="shared" si="48"/>
        <v>297.30449999999996</v>
      </c>
      <c r="AC314" s="15">
        <f t="shared" si="49"/>
        <v>97.304499999999962</v>
      </c>
    </row>
    <row r="315" spans="1:29" x14ac:dyDescent="0.35">
      <c r="A315" t="s">
        <v>701</v>
      </c>
      <c r="B315" t="s">
        <v>702</v>
      </c>
      <c r="C315" t="s">
        <v>77</v>
      </c>
      <c r="D315" t="s">
        <v>63</v>
      </c>
      <c r="E315" s="1">
        <v>45820</v>
      </c>
      <c r="F315" s="24">
        <f t="shared" si="40"/>
        <v>2025</v>
      </c>
      <c r="G315" s="24" t="str">
        <f t="shared" si="41"/>
        <v>June</v>
      </c>
      <c r="H315" s="24" t="str">
        <f t="shared" si="42"/>
        <v>Thursday</v>
      </c>
      <c r="I315" s="22">
        <v>0.90751157407407412</v>
      </c>
      <c r="J315" s="24">
        <f t="shared" si="43"/>
        <v>21</v>
      </c>
      <c r="K315" s="24">
        <f t="shared" si="44"/>
        <v>46</v>
      </c>
      <c r="L315" s="24">
        <f t="shared" si="45"/>
        <v>49</v>
      </c>
      <c r="M315" t="s">
        <v>17</v>
      </c>
      <c r="N315" t="s">
        <v>18</v>
      </c>
      <c r="O315" s="24">
        <v>1</v>
      </c>
      <c r="P315" s="11">
        <v>1144.6300000000001</v>
      </c>
      <c r="Q315" s="26">
        <f>VLOOKUP('Prepared Sales Dataset'!M315,'Product-cost'!A:B,2,FALSE)</f>
        <v>600</v>
      </c>
      <c r="R315" t="s">
        <v>42</v>
      </c>
      <c r="S315" t="s">
        <v>241</v>
      </c>
      <c r="T315" t="s">
        <v>133</v>
      </c>
      <c r="U315" t="s">
        <v>921</v>
      </c>
      <c r="V315" s="17">
        <f>P315*O315</f>
        <v>1144.6300000000001</v>
      </c>
      <c r="W315" s="19">
        <f>O315*Q315</f>
        <v>600</v>
      </c>
      <c r="X315" s="13">
        <f>VLOOKUP(R315,Taxrate!A:B,2,FALSE)</f>
        <v>0.15</v>
      </c>
      <c r="Y315" s="15">
        <f t="shared" si="46"/>
        <v>171.69450000000001</v>
      </c>
      <c r="Z315" s="9">
        <f>VLOOKUP(M315,'Discount Rate'!A:B,2,FALSE)</f>
        <v>0.05</v>
      </c>
      <c r="AA315" s="11">
        <f t="shared" si="47"/>
        <v>57.231500000000011</v>
      </c>
      <c r="AB315" s="15">
        <f t="shared" si="48"/>
        <v>915.70400000000006</v>
      </c>
      <c r="AC315" s="15">
        <f t="shared" si="49"/>
        <v>315.70400000000006</v>
      </c>
    </row>
    <row r="316" spans="1:29" x14ac:dyDescent="0.35">
      <c r="A316" t="s">
        <v>703</v>
      </c>
      <c r="B316" t="s">
        <v>704</v>
      </c>
      <c r="C316" t="s">
        <v>70</v>
      </c>
      <c r="D316" t="s">
        <v>71</v>
      </c>
      <c r="E316" s="1">
        <v>46021</v>
      </c>
      <c r="F316" s="24">
        <f t="shared" si="40"/>
        <v>2025</v>
      </c>
      <c r="G316" s="24" t="str">
        <f t="shared" si="41"/>
        <v>December</v>
      </c>
      <c r="H316" s="24" t="str">
        <f t="shared" si="42"/>
        <v>Tuesday</v>
      </c>
      <c r="I316" s="22">
        <v>0.41214120370370372</v>
      </c>
      <c r="J316" s="24">
        <f t="shared" si="43"/>
        <v>9</v>
      </c>
      <c r="K316" s="24">
        <f t="shared" si="44"/>
        <v>53</v>
      </c>
      <c r="L316" s="24">
        <f t="shared" si="45"/>
        <v>29</v>
      </c>
      <c r="M316" t="s">
        <v>33</v>
      </c>
      <c r="N316" t="s">
        <v>34</v>
      </c>
      <c r="O316" s="24">
        <v>3</v>
      </c>
      <c r="P316" s="11">
        <v>513.5</v>
      </c>
      <c r="Q316" s="26">
        <f>VLOOKUP('Prepared Sales Dataset'!M316,'Product-cost'!A:B,2,FALSE)</f>
        <v>200</v>
      </c>
      <c r="R316" t="s">
        <v>35</v>
      </c>
      <c r="S316" t="s">
        <v>73</v>
      </c>
      <c r="T316" t="s">
        <v>30</v>
      </c>
      <c r="U316" t="s">
        <v>921</v>
      </c>
      <c r="V316" s="17">
        <f>P316*O316</f>
        <v>1540.5</v>
      </c>
      <c r="W316" s="19">
        <f>O316*Q316</f>
        <v>600</v>
      </c>
      <c r="X316" s="13">
        <f>VLOOKUP(R316,Taxrate!A:B,2,FALSE)</f>
        <v>0.2</v>
      </c>
      <c r="Y316" s="15">
        <f t="shared" si="46"/>
        <v>308.10000000000002</v>
      </c>
      <c r="Z316" s="9">
        <f>VLOOKUP(M316,'Discount Rate'!A:B,2,FALSE)</f>
        <v>0.08</v>
      </c>
      <c r="AA316" s="11">
        <f t="shared" si="47"/>
        <v>123.24000000000001</v>
      </c>
      <c r="AB316" s="15">
        <f t="shared" si="48"/>
        <v>1109.1599999999999</v>
      </c>
      <c r="AC316" s="15">
        <f t="shared" si="49"/>
        <v>509.15999999999985</v>
      </c>
    </row>
    <row r="317" spans="1:29" x14ac:dyDescent="0.35">
      <c r="A317" t="s">
        <v>705</v>
      </c>
      <c r="B317" t="s">
        <v>706</v>
      </c>
      <c r="C317" t="s">
        <v>139</v>
      </c>
      <c r="D317" t="s">
        <v>25</v>
      </c>
      <c r="E317" s="1">
        <v>45322</v>
      </c>
      <c r="F317" s="24">
        <f t="shared" si="40"/>
        <v>2024</v>
      </c>
      <c r="G317" s="24" t="str">
        <f t="shared" si="41"/>
        <v>January</v>
      </c>
      <c r="H317" s="24" t="str">
        <f t="shared" si="42"/>
        <v>Wednesday</v>
      </c>
      <c r="I317" s="22">
        <v>0.81753472222222223</v>
      </c>
      <c r="J317" s="24">
        <f t="shared" si="43"/>
        <v>19</v>
      </c>
      <c r="K317" s="24">
        <f t="shared" si="44"/>
        <v>37</v>
      </c>
      <c r="L317" s="24">
        <f t="shared" si="45"/>
        <v>15</v>
      </c>
      <c r="M317" t="s">
        <v>78</v>
      </c>
      <c r="N317" t="s">
        <v>79</v>
      </c>
      <c r="O317" s="24">
        <v>13</v>
      </c>
      <c r="P317" s="11">
        <v>143.08000000000001</v>
      </c>
      <c r="Q317" s="26">
        <f>VLOOKUP('Prepared Sales Dataset'!M317,'Product-cost'!A:B,2,FALSE)</f>
        <v>50</v>
      </c>
      <c r="R317" t="s">
        <v>59</v>
      </c>
      <c r="S317" t="s">
        <v>56</v>
      </c>
      <c r="U317" t="s">
        <v>923</v>
      </c>
      <c r="V317" s="17">
        <f>P317*O317</f>
        <v>1860.0400000000002</v>
      </c>
      <c r="W317" s="19">
        <f>O317*Q317</f>
        <v>650</v>
      </c>
      <c r="X317" s="13">
        <f>VLOOKUP(R317,Taxrate!A:B,2,FALSE)</f>
        <v>0.12</v>
      </c>
      <c r="Y317" s="15">
        <f t="shared" si="46"/>
        <v>223.20480000000001</v>
      </c>
      <c r="Z317" s="9">
        <f>VLOOKUP(M317,'Discount Rate'!A:B,2,FALSE)</f>
        <v>0.03</v>
      </c>
      <c r="AA317" s="11">
        <f t="shared" si="47"/>
        <v>55.801200000000001</v>
      </c>
      <c r="AB317" s="15">
        <f t="shared" si="48"/>
        <v>1581.0340000000001</v>
      </c>
      <c r="AC317" s="15">
        <f t="shared" si="49"/>
        <v>931.03400000000011</v>
      </c>
    </row>
    <row r="318" spans="1:29" x14ac:dyDescent="0.35">
      <c r="A318" t="s">
        <v>707</v>
      </c>
      <c r="B318" t="s">
        <v>596</v>
      </c>
      <c r="C318" t="s">
        <v>169</v>
      </c>
      <c r="D318" t="s">
        <v>170</v>
      </c>
      <c r="E318" s="1">
        <v>45360</v>
      </c>
      <c r="F318" s="24">
        <f t="shared" si="40"/>
        <v>2024</v>
      </c>
      <c r="G318" s="24" t="str">
        <f t="shared" si="41"/>
        <v>March</v>
      </c>
      <c r="H318" s="24" t="str">
        <f t="shared" si="42"/>
        <v>Saturday</v>
      </c>
      <c r="I318" s="22">
        <v>0.78883101851851856</v>
      </c>
      <c r="J318" s="24">
        <f t="shared" si="43"/>
        <v>18</v>
      </c>
      <c r="K318" s="24">
        <f t="shared" si="44"/>
        <v>55</v>
      </c>
      <c r="L318" s="24">
        <f t="shared" si="45"/>
        <v>55</v>
      </c>
      <c r="M318" t="s">
        <v>49</v>
      </c>
      <c r="N318" t="s">
        <v>50</v>
      </c>
      <c r="O318" s="24">
        <v>10</v>
      </c>
      <c r="P318" s="11">
        <v>183.92</v>
      </c>
      <c r="Q318" s="26">
        <f>VLOOKUP('Prepared Sales Dataset'!M318,'Product-cost'!A:B,2,FALSE)</f>
        <v>150</v>
      </c>
      <c r="R318" t="s">
        <v>35</v>
      </c>
      <c r="S318" t="s">
        <v>272</v>
      </c>
      <c r="T318" t="s">
        <v>166</v>
      </c>
      <c r="U318" t="s">
        <v>921</v>
      </c>
      <c r="V318" s="17">
        <f>P318*O318</f>
        <v>1839.1999999999998</v>
      </c>
      <c r="W318" s="19">
        <f>O318*Q318</f>
        <v>1500</v>
      </c>
      <c r="X318" s="13">
        <f>VLOOKUP(R318,Taxrate!A:B,2,FALSE)</f>
        <v>0.2</v>
      </c>
      <c r="Y318" s="15">
        <f t="shared" si="46"/>
        <v>367.84</v>
      </c>
      <c r="Z318" s="9">
        <f>VLOOKUP(M318,'Discount Rate'!A:B,2,FALSE)</f>
        <v>7.0000000000000007E-2</v>
      </c>
      <c r="AA318" s="11">
        <f t="shared" si="47"/>
        <v>128.744</v>
      </c>
      <c r="AB318" s="15">
        <f t="shared" si="48"/>
        <v>1342.616</v>
      </c>
      <c r="AC318" s="15">
        <f t="shared" si="49"/>
        <v>-157.38400000000001</v>
      </c>
    </row>
    <row r="319" spans="1:29" x14ac:dyDescent="0.35">
      <c r="A319" t="s">
        <v>708</v>
      </c>
      <c r="B319" t="s">
        <v>709</v>
      </c>
      <c r="C319" t="s">
        <v>47</v>
      </c>
      <c r="D319" t="s">
        <v>48</v>
      </c>
      <c r="E319" s="1">
        <v>45126</v>
      </c>
      <c r="F319" s="24">
        <f t="shared" si="40"/>
        <v>2023</v>
      </c>
      <c r="G319" s="24" t="str">
        <f t="shared" si="41"/>
        <v>July</v>
      </c>
      <c r="H319" s="24" t="str">
        <f t="shared" si="42"/>
        <v>Wednesday</v>
      </c>
      <c r="I319" s="22">
        <v>0.71589120370370374</v>
      </c>
      <c r="J319" s="24">
        <f t="shared" si="43"/>
        <v>17</v>
      </c>
      <c r="K319" s="24">
        <f t="shared" si="44"/>
        <v>10</v>
      </c>
      <c r="L319" s="24">
        <f t="shared" si="45"/>
        <v>53</v>
      </c>
      <c r="M319" t="s">
        <v>49</v>
      </c>
      <c r="N319" t="s">
        <v>50</v>
      </c>
      <c r="O319" s="24">
        <v>8</v>
      </c>
      <c r="P319" s="11">
        <v>188.56</v>
      </c>
      <c r="Q319" s="26">
        <f>VLOOKUP('Prepared Sales Dataset'!M319,'Product-cost'!A:B,2,FALSE)</f>
        <v>150</v>
      </c>
      <c r="R319" t="s">
        <v>59</v>
      </c>
      <c r="S319" t="s">
        <v>51</v>
      </c>
      <c r="T319" t="s">
        <v>231</v>
      </c>
      <c r="U319" t="s">
        <v>922</v>
      </c>
      <c r="V319" s="17">
        <f>P319*O319</f>
        <v>1508.48</v>
      </c>
      <c r="W319" s="19">
        <f>O319*Q319</f>
        <v>1200</v>
      </c>
      <c r="X319" s="13">
        <f>VLOOKUP(R319,Taxrate!A:B,2,FALSE)</f>
        <v>0.12</v>
      </c>
      <c r="Y319" s="15">
        <f t="shared" si="46"/>
        <v>181.01759999999999</v>
      </c>
      <c r="Z319" s="9">
        <f>VLOOKUP(M319,'Discount Rate'!A:B,2,FALSE)</f>
        <v>7.0000000000000007E-2</v>
      </c>
      <c r="AA319" s="11">
        <f t="shared" si="47"/>
        <v>105.59360000000001</v>
      </c>
      <c r="AB319" s="15">
        <f t="shared" si="48"/>
        <v>1221.8688</v>
      </c>
      <c r="AC319" s="15">
        <f t="shared" si="49"/>
        <v>21.868799999999965</v>
      </c>
    </row>
    <row r="320" spans="1:29" x14ac:dyDescent="0.35">
      <c r="A320" t="s">
        <v>710</v>
      </c>
      <c r="B320" t="s">
        <v>711</v>
      </c>
      <c r="C320" t="s">
        <v>88</v>
      </c>
      <c r="D320" t="s">
        <v>41</v>
      </c>
      <c r="E320" s="1">
        <v>46328</v>
      </c>
      <c r="F320" s="24">
        <f t="shared" si="40"/>
        <v>2026</v>
      </c>
      <c r="G320" s="24" t="str">
        <f t="shared" si="41"/>
        <v>November</v>
      </c>
      <c r="H320" s="24" t="str">
        <f t="shared" si="42"/>
        <v>Monday</v>
      </c>
      <c r="I320" s="22">
        <v>0.57905092592592589</v>
      </c>
      <c r="J320" s="24">
        <f t="shared" si="43"/>
        <v>13</v>
      </c>
      <c r="K320" s="24">
        <f t="shared" si="44"/>
        <v>53</v>
      </c>
      <c r="L320" s="24">
        <f t="shared" si="45"/>
        <v>50</v>
      </c>
      <c r="M320" t="s">
        <v>26</v>
      </c>
      <c r="N320" t="s">
        <v>27</v>
      </c>
      <c r="O320" s="24">
        <v>10</v>
      </c>
      <c r="P320" s="11">
        <v>498.97</v>
      </c>
      <c r="Q320" s="26">
        <f>VLOOKUP('Prepared Sales Dataset'!M320,'Product-cost'!A:B,2,FALSE)</f>
        <v>300</v>
      </c>
      <c r="R320" t="s">
        <v>28</v>
      </c>
      <c r="S320" t="s">
        <v>90</v>
      </c>
      <c r="T320" t="s">
        <v>125</v>
      </c>
      <c r="U320" t="s">
        <v>921</v>
      </c>
      <c r="V320" s="17">
        <f>P320*O320</f>
        <v>4989.7000000000007</v>
      </c>
      <c r="W320" s="19">
        <f>O320*Q320</f>
        <v>3000</v>
      </c>
      <c r="X320" s="13">
        <f>VLOOKUP(R320,Taxrate!A:B,2,FALSE)</f>
        <v>0.1</v>
      </c>
      <c r="Y320" s="15">
        <f t="shared" si="46"/>
        <v>498.97000000000008</v>
      </c>
      <c r="Z320" s="9">
        <f>VLOOKUP(M320,'Discount Rate'!A:B,2,FALSE)</f>
        <v>0.1</v>
      </c>
      <c r="AA320" s="11">
        <f t="shared" si="47"/>
        <v>498.97000000000008</v>
      </c>
      <c r="AB320" s="15">
        <f t="shared" si="48"/>
        <v>3991.7600000000007</v>
      </c>
      <c r="AC320" s="15">
        <f t="shared" si="49"/>
        <v>991.76000000000067</v>
      </c>
    </row>
    <row r="321" spans="1:29" x14ac:dyDescent="0.35">
      <c r="A321" t="s">
        <v>712</v>
      </c>
      <c r="B321" t="s">
        <v>713</v>
      </c>
      <c r="C321" t="s">
        <v>98</v>
      </c>
      <c r="D321" t="s">
        <v>99</v>
      </c>
      <c r="E321" s="1">
        <v>45250</v>
      </c>
      <c r="F321" s="24">
        <f t="shared" si="40"/>
        <v>2023</v>
      </c>
      <c r="G321" s="24" t="str">
        <f t="shared" si="41"/>
        <v>November</v>
      </c>
      <c r="H321" s="24" t="str">
        <f t="shared" si="42"/>
        <v>Monday</v>
      </c>
      <c r="I321" s="22">
        <v>0.62847222222222221</v>
      </c>
      <c r="J321" s="24">
        <f t="shared" si="43"/>
        <v>15</v>
      </c>
      <c r="K321" s="24">
        <f t="shared" si="44"/>
        <v>5</v>
      </c>
      <c r="L321" s="24">
        <f t="shared" si="45"/>
        <v>0</v>
      </c>
      <c r="M321" t="s">
        <v>17</v>
      </c>
      <c r="N321" t="s">
        <v>18</v>
      </c>
      <c r="O321" s="24">
        <v>2</v>
      </c>
      <c r="P321" s="11">
        <v>1096.8699999999999</v>
      </c>
      <c r="Q321" s="26">
        <f>VLOOKUP('Prepared Sales Dataset'!M321,'Product-cost'!A:B,2,FALSE)</f>
        <v>600</v>
      </c>
      <c r="R321" t="s">
        <v>28</v>
      </c>
      <c r="S321" t="s">
        <v>122</v>
      </c>
      <c r="T321" t="s">
        <v>109</v>
      </c>
      <c r="U321" t="s">
        <v>923</v>
      </c>
      <c r="V321" s="17">
        <f>P321*O321</f>
        <v>2193.7399999999998</v>
      </c>
      <c r="W321" s="19">
        <f>O321*Q321</f>
        <v>1200</v>
      </c>
      <c r="X321" s="13">
        <f>VLOOKUP(R321,Taxrate!A:B,2,FALSE)</f>
        <v>0.1</v>
      </c>
      <c r="Y321" s="15">
        <f t="shared" si="46"/>
        <v>219.374</v>
      </c>
      <c r="Z321" s="9">
        <f>VLOOKUP(M321,'Discount Rate'!A:B,2,FALSE)</f>
        <v>0.05</v>
      </c>
      <c r="AA321" s="11">
        <f t="shared" si="47"/>
        <v>109.687</v>
      </c>
      <c r="AB321" s="15">
        <f t="shared" si="48"/>
        <v>1864.6789999999999</v>
      </c>
      <c r="AC321" s="15">
        <f t="shared" si="49"/>
        <v>664.67899999999986</v>
      </c>
    </row>
    <row r="322" spans="1:29" x14ac:dyDescent="0.35">
      <c r="A322" t="s">
        <v>714</v>
      </c>
      <c r="B322" t="s">
        <v>715</v>
      </c>
      <c r="C322" t="s">
        <v>24</v>
      </c>
      <c r="D322" t="s">
        <v>25</v>
      </c>
      <c r="E322" s="1">
        <v>46177</v>
      </c>
      <c r="F322" s="24">
        <f t="shared" ref="F322:F385" si="50">YEAR(E322)</f>
        <v>2026</v>
      </c>
      <c r="G322" s="24" t="str">
        <f t="shared" si="41"/>
        <v>June</v>
      </c>
      <c r="H322" s="24" t="str">
        <f t="shared" si="42"/>
        <v>Thursday</v>
      </c>
      <c r="I322" s="22">
        <v>0.71649305555555554</v>
      </c>
      <c r="J322" s="24">
        <f t="shared" si="43"/>
        <v>17</v>
      </c>
      <c r="K322" s="24">
        <f t="shared" si="44"/>
        <v>11</v>
      </c>
      <c r="L322" s="24">
        <f t="shared" si="45"/>
        <v>45</v>
      </c>
      <c r="M322" t="s">
        <v>78</v>
      </c>
      <c r="N322" t="s">
        <v>79</v>
      </c>
      <c r="O322" s="24">
        <v>2</v>
      </c>
      <c r="P322" s="11">
        <v>178.69</v>
      </c>
      <c r="Q322" s="26">
        <f>VLOOKUP('Prepared Sales Dataset'!M322,'Product-cost'!A:B,2,FALSE)</f>
        <v>50</v>
      </c>
      <c r="R322" t="s">
        <v>28</v>
      </c>
      <c r="S322" t="s">
        <v>56</v>
      </c>
      <c r="T322" t="s">
        <v>172</v>
      </c>
      <c r="U322" t="s">
        <v>921</v>
      </c>
      <c r="V322" s="17">
        <f>P322*O322</f>
        <v>357.38</v>
      </c>
      <c r="W322" s="19">
        <f>O322*Q322</f>
        <v>100</v>
      </c>
      <c r="X322" s="13">
        <f>VLOOKUP(R322,Taxrate!A:B,2,FALSE)</f>
        <v>0.1</v>
      </c>
      <c r="Y322" s="15">
        <f t="shared" si="46"/>
        <v>35.738</v>
      </c>
      <c r="Z322" s="9">
        <f>VLOOKUP(M322,'Discount Rate'!A:B,2,FALSE)</f>
        <v>0.03</v>
      </c>
      <c r="AA322" s="11">
        <f t="shared" si="47"/>
        <v>10.721399999999999</v>
      </c>
      <c r="AB322" s="15">
        <f t="shared" si="48"/>
        <v>310.92059999999998</v>
      </c>
      <c r="AC322" s="15">
        <f t="shared" si="49"/>
        <v>210.92059999999998</v>
      </c>
    </row>
    <row r="323" spans="1:29" x14ac:dyDescent="0.35">
      <c r="A323" t="s">
        <v>716</v>
      </c>
      <c r="B323" t="s">
        <v>329</v>
      </c>
      <c r="C323" t="s">
        <v>136</v>
      </c>
      <c r="D323" t="s">
        <v>25</v>
      </c>
      <c r="E323" s="1">
        <v>45877</v>
      </c>
      <c r="F323" s="24">
        <f t="shared" si="50"/>
        <v>2025</v>
      </c>
      <c r="G323" s="24" t="str">
        <f t="shared" ref="G323:G386" si="51">TEXT(E323,"mmmm")</f>
        <v>August</v>
      </c>
      <c r="H323" s="24" t="str">
        <f t="shared" ref="H323:H386" si="52">TEXT(E323,"dddd")</f>
        <v>Friday</v>
      </c>
      <c r="I323" s="22">
        <v>0.50222222222222224</v>
      </c>
      <c r="J323" s="24">
        <f t="shared" ref="J323:J386" si="53">HOUR(I323)</f>
        <v>12</v>
      </c>
      <c r="K323" s="24">
        <f t="shared" ref="K323:K386" si="54">MINUTE(I323)</f>
        <v>3</v>
      </c>
      <c r="L323" s="24">
        <f t="shared" ref="L323:L386" si="55">SECOND(I323)</f>
        <v>12</v>
      </c>
      <c r="M323" t="s">
        <v>17</v>
      </c>
      <c r="N323" t="s">
        <v>18</v>
      </c>
      <c r="O323" s="24">
        <v>11</v>
      </c>
      <c r="P323" s="11">
        <v>1255.74</v>
      </c>
      <c r="Q323" s="26">
        <f>VLOOKUP('Prepared Sales Dataset'!M323,'Product-cost'!A:B,2,FALSE)</f>
        <v>600</v>
      </c>
      <c r="R323" t="s">
        <v>42</v>
      </c>
      <c r="S323" t="s">
        <v>29</v>
      </c>
      <c r="T323" t="s">
        <v>30</v>
      </c>
      <c r="U323" t="s">
        <v>921</v>
      </c>
      <c r="V323" s="17">
        <f>P323*O323</f>
        <v>13813.14</v>
      </c>
      <c r="W323" s="19">
        <f>O323*Q323</f>
        <v>6600</v>
      </c>
      <c r="X323" s="13">
        <f>VLOOKUP(R323,Taxrate!A:B,2,FALSE)</f>
        <v>0.15</v>
      </c>
      <c r="Y323" s="15">
        <f t="shared" ref="Y323:Y386" si="56">V323*X323</f>
        <v>2071.971</v>
      </c>
      <c r="Z323" s="9">
        <f>VLOOKUP(M323,'Discount Rate'!A:B,2,FALSE)</f>
        <v>0.05</v>
      </c>
      <c r="AA323" s="11">
        <f t="shared" ref="AA323:AA386" si="57">V323*Z323</f>
        <v>690.65700000000004</v>
      </c>
      <c r="AB323" s="15">
        <f t="shared" ref="AB323:AB386" si="58">V323-(Y323+AA323)</f>
        <v>11050.511999999999</v>
      </c>
      <c r="AC323" s="15">
        <f t="shared" ref="AC323:AC386" si="59">AB323-W323</f>
        <v>4450.5119999999988</v>
      </c>
    </row>
    <row r="324" spans="1:29" x14ac:dyDescent="0.35">
      <c r="A324" t="s">
        <v>717</v>
      </c>
      <c r="B324" t="s">
        <v>718</v>
      </c>
      <c r="C324" t="s">
        <v>150</v>
      </c>
      <c r="D324" t="s">
        <v>25</v>
      </c>
      <c r="E324" s="1">
        <v>45140</v>
      </c>
      <c r="F324" s="24">
        <f t="shared" si="50"/>
        <v>2023</v>
      </c>
      <c r="G324" s="24" t="str">
        <f t="shared" si="51"/>
        <v>August</v>
      </c>
      <c r="H324" s="24" t="str">
        <f t="shared" si="52"/>
        <v>Wednesday</v>
      </c>
      <c r="I324" s="22">
        <v>0.67442129629629632</v>
      </c>
      <c r="J324" s="24">
        <f t="shared" si="53"/>
        <v>16</v>
      </c>
      <c r="K324" s="24">
        <f t="shared" si="54"/>
        <v>11</v>
      </c>
      <c r="L324" s="24">
        <f t="shared" si="55"/>
        <v>10</v>
      </c>
      <c r="M324" t="s">
        <v>17</v>
      </c>
      <c r="N324" t="s">
        <v>18</v>
      </c>
      <c r="O324" s="24">
        <v>2</v>
      </c>
      <c r="P324" s="11">
        <v>506</v>
      </c>
      <c r="Q324" s="26">
        <f>VLOOKUP('Prepared Sales Dataset'!M324,'Product-cost'!A:B,2,FALSE)</f>
        <v>600</v>
      </c>
      <c r="R324" t="s">
        <v>35</v>
      </c>
      <c r="S324" t="s">
        <v>155</v>
      </c>
      <c r="T324" t="s">
        <v>74</v>
      </c>
      <c r="U324" t="s">
        <v>922</v>
      </c>
      <c r="V324" s="17">
        <f>P324*O324</f>
        <v>1012</v>
      </c>
      <c r="W324" s="19">
        <f>O324*Q324</f>
        <v>1200</v>
      </c>
      <c r="X324" s="13">
        <f>VLOOKUP(R324,Taxrate!A:B,2,FALSE)</f>
        <v>0.2</v>
      </c>
      <c r="Y324" s="15">
        <f t="shared" si="56"/>
        <v>202.4</v>
      </c>
      <c r="Z324" s="9">
        <f>VLOOKUP(M324,'Discount Rate'!A:B,2,FALSE)</f>
        <v>0.05</v>
      </c>
      <c r="AA324" s="11">
        <f t="shared" si="57"/>
        <v>50.6</v>
      </c>
      <c r="AB324" s="15">
        <f t="shared" si="58"/>
        <v>759</v>
      </c>
      <c r="AC324" s="15">
        <f t="shared" si="59"/>
        <v>-441</v>
      </c>
    </row>
    <row r="325" spans="1:29" x14ac:dyDescent="0.35">
      <c r="A325" t="s">
        <v>719</v>
      </c>
      <c r="B325" t="s">
        <v>720</v>
      </c>
      <c r="C325" t="s">
        <v>88</v>
      </c>
      <c r="D325" t="s">
        <v>41</v>
      </c>
      <c r="E325" s="1">
        <v>45127</v>
      </c>
      <c r="F325" s="24">
        <f t="shared" si="50"/>
        <v>2023</v>
      </c>
      <c r="G325" s="24" t="str">
        <f t="shared" si="51"/>
        <v>July</v>
      </c>
      <c r="H325" s="24" t="str">
        <f t="shared" si="52"/>
        <v>Thursday</v>
      </c>
      <c r="I325" s="22">
        <v>0.81035879629629626</v>
      </c>
      <c r="J325" s="24">
        <f t="shared" si="53"/>
        <v>19</v>
      </c>
      <c r="K325" s="24">
        <f t="shared" si="54"/>
        <v>26</v>
      </c>
      <c r="L325" s="24">
        <f t="shared" si="55"/>
        <v>55</v>
      </c>
      <c r="M325" t="s">
        <v>26</v>
      </c>
      <c r="N325" t="s">
        <v>27</v>
      </c>
      <c r="O325" s="24">
        <v>4</v>
      </c>
      <c r="P325" s="11">
        <v>506</v>
      </c>
      <c r="Q325" s="26">
        <f>VLOOKUP('Prepared Sales Dataset'!M325,'Product-cost'!A:B,2,FALSE)</f>
        <v>300</v>
      </c>
      <c r="R325" t="s">
        <v>59</v>
      </c>
      <c r="S325" t="s">
        <v>90</v>
      </c>
      <c r="T325" t="s">
        <v>95</v>
      </c>
      <c r="U325" t="s">
        <v>921</v>
      </c>
      <c r="V325" s="17">
        <f>P325*O325</f>
        <v>2024</v>
      </c>
      <c r="W325" s="19">
        <f>O325*Q325</f>
        <v>1200</v>
      </c>
      <c r="X325" s="13">
        <f>VLOOKUP(R325,Taxrate!A:B,2,FALSE)</f>
        <v>0.12</v>
      </c>
      <c r="Y325" s="15">
        <f t="shared" si="56"/>
        <v>242.88</v>
      </c>
      <c r="Z325" s="9">
        <f>VLOOKUP(M325,'Discount Rate'!A:B,2,FALSE)</f>
        <v>0.1</v>
      </c>
      <c r="AA325" s="11">
        <f t="shared" si="57"/>
        <v>202.4</v>
      </c>
      <c r="AB325" s="15">
        <f t="shared" si="58"/>
        <v>1578.72</v>
      </c>
      <c r="AC325" s="15">
        <f t="shared" si="59"/>
        <v>378.72</v>
      </c>
    </row>
    <row r="326" spans="1:29" x14ac:dyDescent="0.35">
      <c r="A326" t="s">
        <v>721</v>
      </c>
      <c r="B326" t="s">
        <v>722</v>
      </c>
      <c r="C326" t="s">
        <v>40</v>
      </c>
      <c r="D326" t="s">
        <v>41</v>
      </c>
      <c r="E326" s="1">
        <v>45341</v>
      </c>
      <c r="F326" s="24">
        <f t="shared" si="50"/>
        <v>2024</v>
      </c>
      <c r="G326" s="24" t="str">
        <f t="shared" si="51"/>
        <v>February</v>
      </c>
      <c r="H326" s="24" t="str">
        <f t="shared" si="52"/>
        <v>Monday</v>
      </c>
      <c r="I326" s="22">
        <v>0.41856481481481483</v>
      </c>
      <c r="J326" s="24">
        <f t="shared" si="53"/>
        <v>10</v>
      </c>
      <c r="K326" s="24">
        <f t="shared" si="54"/>
        <v>2</v>
      </c>
      <c r="L326" s="24">
        <f t="shared" si="55"/>
        <v>44</v>
      </c>
      <c r="M326" t="s">
        <v>49</v>
      </c>
      <c r="N326" t="s">
        <v>50</v>
      </c>
      <c r="O326" s="24">
        <v>8</v>
      </c>
      <c r="P326" s="11">
        <v>269.68</v>
      </c>
      <c r="Q326" s="26">
        <f>VLOOKUP('Prepared Sales Dataset'!M326,'Product-cost'!A:B,2,FALSE)</f>
        <v>150</v>
      </c>
      <c r="R326" t="s">
        <v>42</v>
      </c>
      <c r="S326" t="s">
        <v>43</v>
      </c>
      <c r="U326" t="s">
        <v>923</v>
      </c>
      <c r="V326" s="17">
        <f>P326*O326</f>
        <v>2157.44</v>
      </c>
      <c r="W326" s="19">
        <f>O326*Q326</f>
        <v>1200</v>
      </c>
      <c r="X326" s="13">
        <f>VLOOKUP(R326,Taxrate!A:B,2,FALSE)</f>
        <v>0.15</v>
      </c>
      <c r="Y326" s="15">
        <f t="shared" si="56"/>
        <v>323.61599999999999</v>
      </c>
      <c r="Z326" s="9">
        <f>VLOOKUP(M326,'Discount Rate'!A:B,2,FALSE)</f>
        <v>7.0000000000000007E-2</v>
      </c>
      <c r="AA326" s="11">
        <f t="shared" si="57"/>
        <v>151.02080000000001</v>
      </c>
      <c r="AB326" s="15">
        <f t="shared" si="58"/>
        <v>1682.8032000000001</v>
      </c>
      <c r="AC326" s="15">
        <f t="shared" si="59"/>
        <v>482.80320000000006</v>
      </c>
    </row>
    <row r="327" spans="1:29" x14ac:dyDescent="0.35">
      <c r="A327" t="s">
        <v>723</v>
      </c>
      <c r="B327" t="s">
        <v>724</v>
      </c>
      <c r="C327" t="s">
        <v>62</v>
      </c>
      <c r="D327" t="s">
        <v>63</v>
      </c>
      <c r="E327" s="1">
        <v>46059</v>
      </c>
      <c r="F327" s="24">
        <f t="shared" si="50"/>
        <v>2026</v>
      </c>
      <c r="G327" s="24" t="str">
        <f t="shared" si="51"/>
        <v>February</v>
      </c>
      <c r="H327" s="24" t="str">
        <f t="shared" si="52"/>
        <v>Friday</v>
      </c>
      <c r="I327" s="22">
        <v>0.39368055555555553</v>
      </c>
      <c r="J327" s="24">
        <f t="shared" si="53"/>
        <v>9</v>
      </c>
      <c r="K327" s="24">
        <f t="shared" si="54"/>
        <v>26</v>
      </c>
      <c r="L327" s="24">
        <f t="shared" si="55"/>
        <v>54</v>
      </c>
      <c r="M327" t="s">
        <v>49</v>
      </c>
      <c r="N327" t="s">
        <v>50</v>
      </c>
      <c r="O327" s="24">
        <v>4</v>
      </c>
      <c r="P327" s="11">
        <v>268.07</v>
      </c>
      <c r="Q327" s="26">
        <f>VLOOKUP('Prepared Sales Dataset'!M327,'Product-cost'!A:B,2,FALSE)</f>
        <v>150</v>
      </c>
      <c r="R327" t="s">
        <v>28</v>
      </c>
      <c r="S327" t="s">
        <v>64</v>
      </c>
      <c r="T327" t="s">
        <v>44</v>
      </c>
      <c r="U327" t="s">
        <v>921</v>
      </c>
      <c r="V327" s="17">
        <f>P327*O327</f>
        <v>1072.28</v>
      </c>
      <c r="W327" s="19">
        <f>O327*Q327</f>
        <v>600</v>
      </c>
      <c r="X327" s="13">
        <f>VLOOKUP(R327,Taxrate!A:B,2,FALSE)</f>
        <v>0.1</v>
      </c>
      <c r="Y327" s="15">
        <f t="shared" si="56"/>
        <v>107.22800000000001</v>
      </c>
      <c r="Z327" s="9">
        <f>VLOOKUP(M327,'Discount Rate'!A:B,2,FALSE)</f>
        <v>7.0000000000000007E-2</v>
      </c>
      <c r="AA327" s="11">
        <f t="shared" si="57"/>
        <v>75.059600000000003</v>
      </c>
      <c r="AB327" s="15">
        <f t="shared" si="58"/>
        <v>889.99239999999998</v>
      </c>
      <c r="AC327" s="15">
        <f t="shared" si="59"/>
        <v>289.99239999999998</v>
      </c>
    </row>
    <row r="328" spans="1:29" x14ac:dyDescent="0.35">
      <c r="A328" t="s">
        <v>725</v>
      </c>
      <c r="B328" t="s">
        <v>335</v>
      </c>
      <c r="C328" t="s">
        <v>139</v>
      </c>
      <c r="D328" t="s">
        <v>25</v>
      </c>
      <c r="E328" s="1">
        <v>44937</v>
      </c>
      <c r="F328" s="24">
        <f t="shared" si="50"/>
        <v>2023</v>
      </c>
      <c r="G328" s="24" t="str">
        <f t="shared" si="51"/>
        <v>January</v>
      </c>
      <c r="H328" s="24" t="str">
        <f t="shared" si="52"/>
        <v>Wednesday</v>
      </c>
      <c r="I328" s="22">
        <v>0.33506944444444442</v>
      </c>
      <c r="J328" s="24">
        <f t="shared" si="53"/>
        <v>8</v>
      </c>
      <c r="K328" s="24">
        <f t="shared" si="54"/>
        <v>2</v>
      </c>
      <c r="L328" s="24">
        <f t="shared" si="55"/>
        <v>30</v>
      </c>
      <c r="M328" t="s">
        <v>49</v>
      </c>
      <c r="N328" t="s">
        <v>50</v>
      </c>
      <c r="O328" s="24">
        <v>8</v>
      </c>
      <c r="P328" s="11">
        <v>228.72</v>
      </c>
      <c r="Q328" s="26">
        <f>VLOOKUP('Prepared Sales Dataset'!M328,'Product-cost'!A:B,2,FALSE)</f>
        <v>150</v>
      </c>
      <c r="R328" t="s">
        <v>55</v>
      </c>
      <c r="S328" t="s">
        <v>29</v>
      </c>
      <c r="T328" t="s">
        <v>21</v>
      </c>
      <c r="U328" t="s">
        <v>921</v>
      </c>
      <c r="V328" s="17">
        <f>P328*O328</f>
        <v>1829.76</v>
      </c>
      <c r="W328" s="19">
        <f>O328*Q328</f>
        <v>1200</v>
      </c>
      <c r="X328" s="13">
        <f>VLOOKUP(R328,Taxrate!A:B,2,FALSE)</f>
        <v>7.0000000000000007E-2</v>
      </c>
      <c r="Y328" s="15">
        <f t="shared" si="56"/>
        <v>128.08320000000001</v>
      </c>
      <c r="Z328" s="9">
        <f>VLOOKUP(M328,'Discount Rate'!A:B,2,FALSE)</f>
        <v>7.0000000000000007E-2</v>
      </c>
      <c r="AA328" s="11">
        <f t="shared" si="57"/>
        <v>128.08320000000001</v>
      </c>
      <c r="AB328" s="15">
        <f t="shared" si="58"/>
        <v>1573.5935999999999</v>
      </c>
      <c r="AC328" s="15">
        <f t="shared" si="59"/>
        <v>373.59359999999992</v>
      </c>
    </row>
    <row r="329" spans="1:29" x14ac:dyDescent="0.35">
      <c r="A329" t="s">
        <v>726</v>
      </c>
      <c r="B329" t="s">
        <v>727</v>
      </c>
      <c r="C329" t="s">
        <v>128</v>
      </c>
      <c r="D329" t="s">
        <v>63</v>
      </c>
      <c r="E329" s="1">
        <v>46253</v>
      </c>
      <c r="F329" s="24">
        <f t="shared" si="50"/>
        <v>2026</v>
      </c>
      <c r="G329" s="24" t="str">
        <f t="shared" si="51"/>
        <v>August</v>
      </c>
      <c r="H329" s="24" t="str">
        <f t="shared" si="52"/>
        <v>Wednesday</v>
      </c>
      <c r="I329" s="22">
        <v>0.35465277777777776</v>
      </c>
      <c r="J329" s="24">
        <f t="shared" si="53"/>
        <v>8</v>
      </c>
      <c r="K329" s="24">
        <f t="shared" si="54"/>
        <v>30</v>
      </c>
      <c r="L329" s="24">
        <f t="shared" si="55"/>
        <v>42</v>
      </c>
      <c r="M329" t="s">
        <v>33</v>
      </c>
      <c r="N329" t="s">
        <v>34</v>
      </c>
      <c r="O329" s="24">
        <v>8</v>
      </c>
      <c r="P329" s="11">
        <v>469.46</v>
      </c>
      <c r="Q329" s="26">
        <f>VLOOKUP('Prepared Sales Dataset'!M329,'Product-cost'!A:B,2,FALSE)</f>
        <v>200</v>
      </c>
      <c r="R329" t="s">
        <v>55</v>
      </c>
      <c r="S329" t="s">
        <v>241</v>
      </c>
      <c r="T329" t="s">
        <v>142</v>
      </c>
      <c r="U329" t="s">
        <v>921</v>
      </c>
      <c r="V329" s="17">
        <f>P329*O329</f>
        <v>3755.68</v>
      </c>
      <c r="W329" s="19">
        <f>O329*Q329</f>
        <v>1600</v>
      </c>
      <c r="X329" s="13">
        <f>VLOOKUP(R329,Taxrate!A:B,2,FALSE)</f>
        <v>7.0000000000000007E-2</v>
      </c>
      <c r="Y329" s="15">
        <f t="shared" si="56"/>
        <v>262.89760000000001</v>
      </c>
      <c r="Z329" s="9">
        <f>VLOOKUP(M329,'Discount Rate'!A:B,2,FALSE)</f>
        <v>0.08</v>
      </c>
      <c r="AA329" s="11">
        <f t="shared" si="57"/>
        <v>300.45440000000002</v>
      </c>
      <c r="AB329" s="15">
        <f t="shared" si="58"/>
        <v>3192.3279999999995</v>
      </c>
      <c r="AC329" s="15">
        <f t="shared" si="59"/>
        <v>1592.3279999999995</v>
      </c>
    </row>
    <row r="330" spans="1:29" x14ac:dyDescent="0.35">
      <c r="A330" t="s">
        <v>728</v>
      </c>
      <c r="B330" t="s">
        <v>729</v>
      </c>
      <c r="C330" t="s">
        <v>407</v>
      </c>
      <c r="D330" t="s">
        <v>48</v>
      </c>
      <c r="E330" s="1">
        <v>45071</v>
      </c>
      <c r="F330" s="24">
        <f t="shared" si="50"/>
        <v>2023</v>
      </c>
      <c r="G330" s="24" t="str">
        <f t="shared" si="51"/>
        <v>May</v>
      </c>
      <c r="H330" s="24" t="str">
        <f t="shared" si="52"/>
        <v>Thursday</v>
      </c>
      <c r="I330" s="22">
        <v>0.80663194444444442</v>
      </c>
      <c r="J330" s="24">
        <f t="shared" si="53"/>
        <v>19</v>
      </c>
      <c r="K330" s="24">
        <f t="shared" si="54"/>
        <v>21</v>
      </c>
      <c r="L330" s="24">
        <f t="shared" si="55"/>
        <v>33</v>
      </c>
      <c r="M330" t="s">
        <v>17</v>
      </c>
      <c r="N330" t="s">
        <v>18</v>
      </c>
      <c r="O330" s="24">
        <v>13</v>
      </c>
      <c r="P330" s="11">
        <v>1273.05</v>
      </c>
      <c r="Q330" s="26">
        <f>VLOOKUP('Prepared Sales Dataset'!M330,'Product-cost'!A:B,2,FALSE)</f>
        <v>600</v>
      </c>
      <c r="R330" t="s">
        <v>59</v>
      </c>
      <c r="S330" t="s">
        <v>94</v>
      </c>
      <c r="T330" t="s">
        <v>133</v>
      </c>
      <c r="U330" t="s">
        <v>921</v>
      </c>
      <c r="V330" s="17">
        <f>P330*O330</f>
        <v>16549.649999999998</v>
      </c>
      <c r="W330" s="19">
        <f>O330*Q330</f>
        <v>7800</v>
      </c>
      <c r="X330" s="13">
        <f>VLOOKUP(R330,Taxrate!A:B,2,FALSE)</f>
        <v>0.12</v>
      </c>
      <c r="Y330" s="15">
        <f t="shared" si="56"/>
        <v>1985.9579999999996</v>
      </c>
      <c r="Z330" s="9">
        <f>VLOOKUP(M330,'Discount Rate'!A:B,2,FALSE)</f>
        <v>0.05</v>
      </c>
      <c r="AA330" s="11">
        <f t="shared" si="57"/>
        <v>827.48249999999996</v>
      </c>
      <c r="AB330" s="15">
        <f t="shared" si="58"/>
        <v>13736.209499999997</v>
      </c>
      <c r="AC330" s="15">
        <f t="shared" si="59"/>
        <v>5936.2094999999972</v>
      </c>
    </row>
    <row r="331" spans="1:29" x14ac:dyDescent="0.35">
      <c r="A331" t="s">
        <v>730</v>
      </c>
      <c r="B331" t="s">
        <v>731</v>
      </c>
      <c r="C331" t="s">
        <v>40</v>
      </c>
      <c r="D331" t="s">
        <v>41</v>
      </c>
      <c r="E331" s="1">
        <v>45154</v>
      </c>
      <c r="F331" s="24">
        <f t="shared" si="50"/>
        <v>2023</v>
      </c>
      <c r="G331" s="24" t="str">
        <f t="shared" si="51"/>
        <v>August</v>
      </c>
      <c r="H331" s="24" t="str">
        <f t="shared" si="52"/>
        <v>Wednesday</v>
      </c>
      <c r="I331" s="22">
        <v>0.56225694444444441</v>
      </c>
      <c r="J331" s="24">
        <f t="shared" si="53"/>
        <v>13</v>
      </c>
      <c r="K331" s="24">
        <f t="shared" si="54"/>
        <v>29</v>
      </c>
      <c r="L331" s="24">
        <f t="shared" si="55"/>
        <v>39</v>
      </c>
      <c r="M331" t="s">
        <v>17</v>
      </c>
      <c r="N331" t="s">
        <v>18</v>
      </c>
      <c r="O331" s="24">
        <v>3</v>
      </c>
      <c r="P331" s="11">
        <v>1152.44</v>
      </c>
      <c r="Q331" s="26">
        <f>VLOOKUP('Prepared Sales Dataset'!M331,'Product-cost'!A:B,2,FALSE)</f>
        <v>600</v>
      </c>
      <c r="R331" t="s">
        <v>59</v>
      </c>
      <c r="S331" t="s">
        <v>90</v>
      </c>
      <c r="T331" t="s">
        <v>44</v>
      </c>
      <c r="U331" t="s">
        <v>921</v>
      </c>
      <c r="V331" s="17">
        <f>P331*O331</f>
        <v>3457.32</v>
      </c>
      <c r="W331" s="19">
        <f>O331*Q331</f>
        <v>1800</v>
      </c>
      <c r="X331" s="13">
        <f>VLOOKUP(R331,Taxrate!A:B,2,FALSE)</f>
        <v>0.12</v>
      </c>
      <c r="Y331" s="15">
        <f t="shared" si="56"/>
        <v>414.8784</v>
      </c>
      <c r="Z331" s="9">
        <f>VLOOKUP(M331,'Discount Rate'!A:B,2,FALSE)</f>
        <v>0.05</v>
      </c>
      <c r="AA331" s="11">
        <f t="shared" si="57"/>
        <v>172.86600000000001</v>
      </c>
      <c r="AB331" s="15">
        <f t="shared" si="58"/>
        <v>2869.5756000000001</v>
      </c>
      <c r="AC331" s="15">
        <f t="shared" si="59"/>
        <v>1069.5756000000001</v>
      </c>
    </row>
    <row r="332" spans="1:29" x14ac:dyDescent="0.35">
      <c r="A332" t="s">
        <v>732</v>
      </c>
      <c r="B332" t="s">
        <v>376</v>
      </c>
      <c r="C332" t="s">
        <v>179</v>
      </c>
      <c r="D332" t="s">
        <v>41</v>
      </c>
      <c r="E332" s="1">
        <v>45388</v>
      </c>
      <c r="F332" s="24">
        <f t="shared" si="50"/>
        <v>2024</v>
      </c>
      <c r="G332" s="24" t="str">
        <f t="shared" si="51"/>
        <v>April</v>
      </c>
      <c r="H332" s="24" t="str">
        <f t="shared" si="52"/>
        <v>Saturday</v>
      </c>
      <c r="I332" s="22">
        <v>0.58144675925925926</v>
      </c>
      <c r="J332" s="24">
        <f t="shared" si="53"/>
        <v>13</v>
      </c>
      <c r="K332" s="24">
        <f t="shared" si="54"/>
        <v>57</v>
      </c>
      <c r="L332" s="24">
        <f t="shared" si="55"/>
        <v>17</v>
      </c>
      <c r="M332" t="s">
        <v>49</v>
      </c>
      <c r="N332" t="s">
        <v>50</v>
      </c>
      <c r="O332" s="24">
        <v>5</v>
      </c>
      <c r="P332" s="11">
        <v>506</v>
      </c>
      <c r="Q332" s="26">
        <f>VLOOKUP('Prepared Sales Dataset'!M332,'Product-cost'!A:B,2,FALSE)</f>
        <v>150</v>
      </c>
      <c r="R332" t="s">
        <v>28</v>
      </c>
      <c r="S332" t="s">
        <v>90</v>
      </c>
      <c r="T332" t="s">
        <v>37</v>
      </c>
      <c r="U332" t="s">
        <v>921</v>
      </c>
      <c r="V332" s="17">
        <f>P332*O332</f>
        <v>2530</v>
      </c>
      <c r="W332" s="19">
        <f>O332*Q332</f>
        <v>750</v>
      </c>
      <c r="X332" s="13">
        <f>VLOOKUP(R332,Taxrate!A:B,2,FALSE)</f>
        <v>0.1</v>
      </c>
      <c r="Y332" s="15">
        <f t="shared" si="56"/>
        <v>253</v>
      </c>
      <c r="Z332" s="9">
        <f>VLOOKUP(M332,'Discount Rate'!A:B,2,FALSE)</f>
        <v>7.0000000000000007E-2</v>
      </c>
      <c r="AA332" s="11">
        <f t="shared" si="57"/>
        <v>177.10000000000002</v>
      </c>
      <c r="AB332" s="15">
        <f t="shared" si="58"/>
        <v>2099.9</v>
      </c>
      <c r="AC332" s="15">
        <f t="shared" si="59"/>
        <v>1349.9</v>
      </c>
    </row>
    <row r="333" spans="1:29" x14ac:dyDescent="0.35">
      <c r="A333" t="s">
        <v>733</v>
      </c>
      <c r="B333" t="s">
        <v>734</v>
      </c>
      <c r="C333" t="s">
        <v>150</v>
      </c>
      <c r="D333" t="s">
        <v>25</v>
      </c>
      <c r="E333" s="1">
        <v>46305</v>
      </c>
      <c r="F333" s="24">
        <f t="shared" si="50"/>
        <v>2026</v>
      </c>
      <c r="G333" s="24" t="str">
        <f t="shared" si="51"/>
        <v>October</v>
      </c>
      <c r="H333" s="24" t="str">
        <f t="shared" si="52"/>
        <v>Saturday</v>
      </c>
      <c r="I333" s="22">
        <v>0.49856481481481479</v>
      </c>
      <c r="J333" s="24">
        <f t="shared" si="53"/>
        <v>11</v>
      </c>
      <c r="K333" s="24">
        <f t="shared" si="54"/>
        <v>57</v>
      </c>
      <c r="L333" s="24">
        <f t="shared" si="55"/>
        <v>56</v>
      </c>
      <c r="M333" t="s">
        <v>78</v>
      </c>
      <c r="N333" t="s">
        <v>79</v>
      </c>
      <c r="O333" s="24">
        <v>8</v>
      </c>
      <c r="P333" s="11">
        <v>133.41</v>
      </c>
      <c r="Q333" s="26">
        <f>VLOOKUP('Prepared Sales Dataset'!M333,'Product-cost'!A:B,2,FALSE)</f>
        <v>50</v>
      </c>
      <c r="R333" t="s">
        <v>55</v>
      </c>
      <c r="S333" t="s">
        <v>29</v>
      </c>
      <c r="T333" t="s">
        <v>103</v>
      </c>
      <c r="U333" t="s">
        <v>921</v>
      </c>
      <c r="V333" s="17">
        <f>P333*O333</f>
        <v>1067.28</v>
      </c>
      <c r="W333" s="19">
        <f>O333*Q333</f>
        <v>400</v>
      </c>
      <c r="X333" s="13">
        <f>VLOOKUP(R333,Taxrate!A:B,2,FALSE)</f>
        <v>7.0000000000000007E-2</v>
      </c>
      <c r="Y333" s="15">
        <f t="shared" si="56"/>
        <v>74.709600000000009</v>
      </c>
      <c r="Z333" s="9">
        <f>VLOOKUP(M333,'Discount Rate'!A:B,2,FALSE)</f>
        <v>0.03</v>
      </c>
      <c r="AA333" s="11">
        <f t="shared" si="57"/>
        <v>32.0184</v>
      </c>
      <c r="AB333" s="15">
        <f t="shared" si="58"/>
        <v>960.55199999999991</v>
      </c>
      <c r="AC333" s="15">
        <f t="shared" si="59"/>
        <v>560.55199999999991</v>
      </c>
    </row>
    <row r="334" spans="1:29" x14ac:dyDescent="0.35">
      <c r="A334" t="s">
        <v>735</v>
      </c>
      <c r="B334" t="s">
        <v>580</v>
      </c>
      <c r="C334" t="s">
        <v>128</v>
      </c>
      <c r="D334" t="s">
        <v>63</v>
      </c>
      <c r="E334" s="1">
        <v>46324</v>
      </c>
      <c r="F334" s="24">
        <f t="shared" si="50"/>
        <v>2026</v>
      </c>
      <c r="G334" s="24" t="str">
        <f t="shared" si="51"/>
        <v>October</v>
      </c>
      <c r="H334" s="24" t="str">
        <f t="shared" si="52"/>
        <v>Thursday</v>
      </c>
      <c r="I334" s="22">
        <v>0.64057870370370373</v>
      </c>
      <c r="J334" s="24">
        <f t="shared" si="53"/>
        <v>15</v>
      </c>
      <c r="K334" s="24">
        <f t="shared" si="54"/>
        <v>22</v>
      </c>
      <c r="L334" s="24">
        <f t="shared" si="55"/>
        <v>26</v>
      </c>
      <c r="M334" t="s">
        <v>78</v>
      </c>
      <c r="N334" t="s">
        <v>79</v>
      </c>
      <c r="O334" s="24">
        <v>1</v>
      </c>
      <c r="P334" s="11">
        <v>124.72</v>
      </c>
      <c r="Q334" s="26">
        <f>VLOOKUP('Prepared Sales Dataset'!M334,'Product-cost'!A:B,2,FALSE)</f>
        <v>50</v>
      </c>
      <c r="R334" t="s">
        <v>35</v>
      </c>
      <c r="S334" t="s">
        <v>64</v>
      </c>
      <c r="T334" t="s">
        <v>133</v>
      </c>
      <c r="U334" t="s">
        <v>921</v>
      </c>
      <c r="V334" s="17">
        <f>P334*O334</f>
        <v>124.72</v>
      </c>
      <c r="W334" s="19">
        <f>O334*Q334</f>
        <v>50</v>
      </c>
      <c r="X334" s="13">
        <f>VLOOKUP(R334,Taxrate!A:B,2,FALSE)</f>
        <v>0.2</v>
      </c>
      <c r="Y334" s="15">
        <f t="shared" si="56"/>
        <v>24.944000000000003</v>
      </c>
      <c r="Z334" s="9">
        <f>VLOOKUP(M334,'Discount Rate'!A:B,2,FALSE)</f>
        <v>0.03</v>
      </c>
      <c r="AA334" s="11">
        <f t="shared" si="57"/>
        <v>3.7416</v>
      </c>
      <c r="AB334" s="15">
        <f t="shared" si="58"/>
        <v>96.034400000000005</v>
      </c>
      <c r="AC334" s="15">
        <f t="shared" si="59"/>
        <v>46.034400000000005</v>
      </c>
    </row>
    <row r="335" spans="1:29" x14ac:dyDescent="0.35">
      <c r="A335" t="s">
        <v>736</v>
      </c>
      <c r="B335" t="s">
        <v>737</v>
      </c>
      <c r="C335" t="s">
        <v>136</v>
      </c>
      <c r="D335" t="s">
        <v>25</v>
      </c>
      <c r="E335" s="1">
        <v>45864</v>
      </c>
      <c r="F335" s="24">
        <f t="shared" si="50"/>
        <v>2025</v>
      </c>
      <c r="G335" s="24" t="str">
        <f t="shared" si="51"/>
        <v>July</v>
      </c>
      <c r="H335" s="24" t="str">
        <f t="shared" si="52"/>
        <v>Saturday</v>
      </c>
      <c r="I335" s="22">
        <v>0.71454861111111112</v>
      </c>
      <c r="J335" s="24">
        <f t="shared" si="53"/>
        <v>17</v>
      </c>
      <c r="K335" s="24">
        <f t="shared" si="54"/>
        <v>8</v>
      </c>
      <c r="L335" s="24">
        <f t="shared" si="55"/>
        <v>57</v>
      </c>
      <c r="M335" t="s">
        <v>33</v>
      </c>
      <c r="N335" t="s">
        <v>34</v>
      </c>
      <c r="O335" s="24">
        <v>5</v>
      </c>
      <c r="P335" s="11">
        <v>394.38</v>
      </c>
      <c r="Q335" s="26">
        <f>VLOOKUP('Prepared Sales Dataset'!M335,'Product-cost'!A:B,2,FALSE)</f>
        <v>200</v>
      </c>
      <c r="R335" t="s">
        <v>28</v>
      </c>
      <c r="S335" t="s">
        <v>56</v>
      </c>
      <c r="T335" t="s">
        <v>95</v>
      </c>
      <c r="U335" t="s">
        <v>921</v>
      </c>
      <c r="V335" s="17">
        <f>P335*O335</f>
        <v>1971.9</v>
      </c>
      <c r="W335" s="19">
        <f>O335*Q335</f>
        <v>1000</v>
      </c>
      <c r="X335" s="13">
        <f>VLOOKUP(R335,Taxrate!A:B,2,FALSE)</f>
        <v>0.1</v>
      </c>
      <c r="Y335" s="15">
        <f t="shared" si="56"/>
        <v>197.19000000000003</v>
      </c>
      <c r="Z335" s="9">
        <f>VLOOKUP(M335,'Discount Rate'!A:B,2,FALSE)</f>
        <v>0.08</v>
      </c>
      <c r="AA335" s="11">
        <f t="shared" si="57"/>
        <v>157.75200000000001</v>
      </c>
      <c r="AB335" s="15">
        <f t="shared" si="58"/>
        <v>1616.9580000000001</v>
      </c>
      <c r="AC335" s="15">
        <f t="shared" si="59"/>
        <v>616.95800000000008</v>
      </c>
    </row>
    <row r="336" spans="1:29" x14ac:dyDescent="0.35">
      <c r="A336" t="s">
        <v>738</v>
      </c>
      <c r="B336" t="s">
        <v>553</v>
      </c>
      <c r="C336" t="s">
        <v>128</v>
      </c>
      <c r="D336" t="s">
        <v>63</v>
      </c>
      <c r="E336" s="1">
        <v>45286</v>
      </c>
      <c r="F336" s="24">
        <f t="shared" si="50"/>
        <v>2023</v>
      </c>
      <c r="G336" s="24" t="str">
        <f t="shared" si="51"/>
        <v>December</v>
      </c>
      <c r="H336" s="24" t="str">
        <f t="shared" si="52"/>
        <v>Tuesday</v>
      </c>
      <c r="I336" s="22">
        <v>0.42716435185185186</v>
      </c>
      <c r="J336" s="24">
        <f t="shared" si="53"/>
        <v>10</v>
      </c>
      <c r="K336" s="24">
        <f t="shared" si="54"/>
        <v>15</v>
      </c>
      <c r="L336" s="24">
        <f t="shared" si="55"/>
        <v>7</v>
      </c>
      <c r="M336" t="s">
        <v>17</v>
      </c>
      <c r="N336" t="s">
        <v>18</v>
      </c>
      <c r="O336" s="24">
        <v>10</v>
      </c>
      <c r="P336" s="11">
        <v>930.2</v>
      </c>
      <c r="Q336" s="26">
        <f>VLOOKUP('Prepared Sales Dataset'!M336,'Product-cost'!A:B,2,FALSE)</f>
        <v>600</v>
      </c>
      <c r="R336" t="s">
        <v>35</v>
      </c>
      <c r="S336" t="s">
        <v>241</v>
      </c>
      <c r="U336" t="s">
        <v>923</v>
      </c>
      <c r="V336" s="17">
        <f>P336*O336</f>
        <v>9302</v>
      </c>
      <c r="W336" s="19">
        <f>O336*Q336</f>
        <v>6000</v>
      </c>
      <c r="X336" s="13">
        <f>VLOOKUP(R336,Taxrate!A:B,2,FALSE)</f>
        <v>0.2</v>
      </c>
      <c r="Y336" s="15">
        <f t="shared" si="56"/>
        <v>1860.4</v>
      </c>
      <c r="Z336" s="9">
        <f>VLOOKUP(M336,'Discount Rate'!A:B,2,FALSE)</f>
        <v>0.05</v>
      </c>
      <c r="AA336" s="11">
        <f t="shared" si="57"/>
        <v>465.1</v>
      </c>
      <c r="AB336" s="15">
        <f t="shared" si="58"/>
        <v>6976.5</v>
      </c>
      <c r="AC336" s="15">
        <f t="shared" si="59"/>
        <v>976.5</v>
      </c>
    </row>
    <row r="337" spans="1:29" x14ac:dyDescent="0.35">
      <c r="A337" t="s">
        <v>739</v>
      </c>
      <c r="B337" t="s">
        <v>165</v>
      </c>
      <c r="C337" t="s">
        <v>128</v>
      </c>
      <c r="D337" t="s">
        <v>63</v>
      </c>
      <c r="E337" s="1">
        <v>44978</v>
      </c>
      <c r="F337" s="24">
        <f t="shared" si="50"/>
        <v>2023</v>
      </c>
      <c r="G337" s="24" t="str">
        <f t="shared" si="51"/>
        <v>February</v>
      </c>
      <c r="H337" s="24" t="str">
        <f t="shared" si="52"/>
        <v>Tuesday</v>
      </c>
      <c r="I337" s="22">
        <v>0.65913194444444445</v>
      </c>
      <c r="J337" s="24">
        <f t="shared" si="53"/>
        <v>15</v>
      </c>
      <c r="K337" s="24">
        <f t="shared" si="54"/>
        <v>49</v>
      </c>
      <c r="L337" s="24">
        <f t="shared" si="55"/>
        <v>9</v>
      </c>
      <c r="M337" t="s">
        <v>78</v>
      </c>
      <c r="N337" t="s">
        <v>79</v>
      </c>
      <c r="O337" s="24">
        <v>3</v>
      </c>
      <c r="P337" s="11">
        <v>506</v>
      </c>
      <c r="Q337" s="26">
        <f>VLOOKUP('Prepared Sales Dataset'!M337,'Product-cost'!A:B,2,FALSE)</f>
        <v>50</v>
      </c>
      <c r="R337" t="s">
        <v>59</v>
      </c>
      <c r="S337" t="s">
        <v>241</v>
      </c>
      <c r="T337" t="s">
        <v>103</v>
      </c>
      <c r="U337" t="s">
        <v>921</v>
      </c>
      <c r="V337" s="17">
        <f>P337*O337</f>
        <v>1518</v>
      </c>
      <c r="W337" s="19">
        <f>O337*Q337</f>
        <v>150</v>
      </c>
      <c r="X337" s="13">
        <f>VLOOKUP(R337,Taxrate!A:B,2,FALSE)</f>
        <v>0.12</v>
      </c>
      <c r="Y337" s="15">
        <f t="shared" si="56"/>
        <v>182.16</v>
      </c>
      <c r="Z337" s="9">
        <f>VLOOKUP(M337,'Discount Rate'!A:B,2,FALSE)</f>
        <v>0.03</v>
      </c>
      <c r="AA337" s="11">
        <f t="shared" si="57"/>
        <v>45.54</v>
      </c>
      <c r="AB337" s="15">
        <f t="shared" si="58"/>
        <v>1290.3</v>
      </c>
      <c r="AC337" s="15">
        <f t="shared" si="59"/>
        <v>1140.3</v>
      </c>
    </row>
    <row r="338" spans="1:29" x14ac:dyDescent="0.35">
      <c r="A338" t="s">
        <v>740</v>
      </c>
      <c r="B338" t="s">
        <v>741</v>
      </c>
      <c r="C338" t="s">
        <v>139</v>
      </c>
      <c r="D338" t="s">
        <v>25</v>
      </c>
      <c r="E338" s="1">
        <v>45832</v>
      </c>
      <c r="F338" s="24">
        <f t="shared" si="50"/>
        <v>2025</v>
      </c>
      <c r="G338" s="24" t="str">
        <f t="shared" si="51"/>
        <v>June</v>
      </c>
      <c r="H338" s="24" t="str">
        <f t="shared" si="52"/>
        <v>Tuesday</v>
      </c>
      <c r="I338" s="22">
        <v>0.79706018518518518</v>
      </c>
      <c r="J338" s="24">
        <f t="shared" si="53"/>
        <v>19</v>
      </c>
      <c r="K338" s="24">
        <f t="shared" si="54"/>
        <v>7</v>
      </c>
      <c r="L338" s="24">
        <f t="shared" si="55"/>
        <v>46</v>
      </c>
      <c r="M338" t="s">
        <v>78</v>
      </c>
      <c r="N338" t="s">
        <v>79</v>
      </c>
      <c r="O338" s="24">
        <v>3</v>
      </c>
      <c r="P338" s="11">
        <v>128.77000000000001</v>
      </c>
      <c r="Q338" s="26">
        <f>VLOOKUP('Prepared Sales Dataset'!M338,'Product-cost'!A:B,2,FALSE)</f>
        <v>50</v>
      </c>
      <c r="R338" t="s">
        <v>55</v>
      </c>
      <c r="S338" t="s">
        <v>29</v>
      </c>
      <c r="T338" t="s">
        <v>249</v>
      </c>
      <c r="U338" t="s">
        <v>921</v>
      </c>
      <c r="V338" s="17">
        <f>P338*O338</f>
        <v>386.31000000000006</v>
      </c>
      <c r="W338" s="19">
        <f>O338*Q338</f>
        <v>150</v>
      </c>
      <c r="X338" s="13">
        <f>VLOOKUP(R338,Taxrate!A:B,2,FALSE)</f>
        <v>7.0000000000000007E-2</v>
      </c>
      <c r="Y338" s="15">
        <f t="shared" si="56"/>
        <v>27.041700000000006</v>
      </c>
      <c r="Z338" s="9">
        <f>VLOOKUP(M338,'Discount Rate'!A:B,2,FALSE)</f>
        <v>0.03</v>
      </c>
      <c r="AA338" s="11">
        <f t="shared" si="57"/>
        <v>11.589300000000001</v>
      </c>
      <c r="AB338" s="15">
        <f t="shared" si="58"/>
        <v>347.67900000000003</v>
      </c>
      <c r="AC338" s="15">
        <f t="shared" si="59"/>
        <v>197.67900000000003</v>
      </c>
    </row>
    <row r="339" spans="1:29" x14ac:dyDescent="0.35">
      <c r="A339" t="s">
        <v>742</v>
      </c>
      <c r="B339" t="s">
        <v>743</v>
      </c>
      <c r="C339" t="s">
        <v>24</v>
      </c>
      <c r="D339" t="s">
        <v>25</v>
      </c>
      <c r="E339" s="1">
        <v>45327</v>
      </c>
      <c r="F339" s="24">
        <f t="shared" si="50"/>
        <v>2024</v>
      </c>
      <c r="G339" s="24" t="str">
        <f t="shared" si="51"/>
        <v>February</v>
      </c>
      <c r="H339" s="24" t="str">
        <f t="shared" si="52"/>
        <v>Monday</v>
      </c>
      <c r="I339" s="22">
        <v>0.39923611111111112</v>
      </c>
      <c r="J339" s="24">
        <f t="shared" si="53"/>
        <v>9</v>
      </c>
      <c r="K339" s="24">
        <f t="shared" si="54"/>
        <v>34</v>
      </c>
      <c r="L339" s="24">
        <f t="shared" si="55"/>
        <v>54</v>
      </c>
      <c r="M339" t="s">
        <v>78</v>
      </c>
      <c r="N339" t="s">
        <v>79</v>
      </c>
      <c r="O339" s="24">
        <v>2</v>
      </c>
      <c r="P339" s="11">
        <v>149.58000000000001</v>
      </c>
      <c r="Q339" s="26">
        <f>VLOOKUP('Prepared Sales Dataset'!M339,'Product-cost'!A:B,2,FALSE)</f>
        <v>50</v>
      </c>
      <c r="R339" t="s">
        <v>42</v>
      </c>
      <c r="S339" t="s">
        <v>29</v>
      </c>
      <c r="T339" t="s">
        <v>30</v>
      </c>
      <c r="U339" t="s">
        <v>921</v>
      </c>
      <c r="V339" s="17">
        <f>P339*O339</f>
        <v>299.16000000000003</v>
      </c>
      <c r="W339" s="19">
        <f>O339*Q339</f>
        <v>100</v>
      </c>
      <c r="X339" s="13">
        <f>VLOOKUP(R339,Taxrate!A:B,2,FALSE)</f>
        <v>0.15</v>
      </c>
      <c r="Y339" s="15">
        <f t="shared" si="56"/>
        <v>44.874000000000002</v>
      </c>
      <c r="Z339" s="9">
        <f>VLOOKUP(M339,'Discount Rate'!A:B,2,FALSE)</f>
        <v>0.03</v>
      </c>
      <c r="AA339" s="11">
        <f t="shared" si="57"/>
        <v>8.9748000000000001</v>
      </c>
      <c r="AB339" s="15">
        <f t="shared" si="58"/>
        <v>245.31120000000001</v>
      </c>
      <c r="AC339" s="15">
        <f t="shared" si="59"/>
        <v>145.31120000000001</v>
      </c>
    </row>
    <row r="340" spans="1:29" x14ac:dyDescent="0.35">
      <c r="A340" t="s">
        <v>744</v>
      </c>
      <c r="B340" t="s">
        <v>745</v>
      </c>
      <c r="C340" t="s">
        <v>40</v>
      </c>
      <c r="D340" t="s">
        <v>41</v>
      </c>
      <c r="E340" s="1">
        <v>45509</v>
      </c>
      <c r="F340" s="24">
        <f t="shared" si="50"/>
        <v>2024</v>
      </c>
      <c r="G340" s="24" t="str">
        <f t="shared" si="51"/>
        <v>August</v>
      </c>
      <c r="H340" s="24" t="str">
        <f t="shared" si="52"/>
        <v>Monday</v>
      </c>
      <c r="I340" s="22">
        <v>0.55518518518518523</v>
      </c>
      <c r="J340" s="24">
        <f t="shared" si="53"/>
        <v>13</v>
      </c>
      <c r="K340" s="24">
        <f t="shared" si="54"/>
        <v>19</v>
      </c>
      <c r="L340" s="24">
        <f t="shared" si="55"/>
        <v>28</v>
      </c>
      <c r="M340" t="s">
        <v>49</v>
      </c>
      <c r="N340" t="s">
        <v>50</v>
      </c>
      <c r="O340" s="24">
        <v>8</v>
      </c>
      <c r="P340" s="11">
        <v>224.86</v>
      </c>
      <c r="Q340" s="26">
        <f>VLOOKUP('Prepared Sales Dataset'!M340,'Product-cost'!A:B,2,FALSE)</f>
        <v>150</v>
      </c>
      <c r="R340" t="s">
        <v>42</v>
      </c>
      <c r="S340" t="s">
        <v>90</v>
      </c>
      <c r="T340" t="s">
        <v>231</v>
      </c>
      <c r="U340" t="s">
        <v>922</v>
      </c>
      <c r="V340" s="17">
        <f>P340*O340</f>
        <v>1798.88</v>
      </c>
      <c r="W340" s="19">
        <f>O340*Q340</f>
        <v>1200</v>
      </c>
      <c r="X340" s="13">
        <f>VLOOKUP(R340,Taxrate!A:B,2,FALSE)</f>
        <v>0.15</v>
      </c>
      <c r="Y340" s="15">
        <f t="shared" si="56"/>
        <v>269.83199999999999</v>
      </c>
      <c r="Z340" s="9">
        <f>VLOOKUP(M340,'Discount Rate'!A:B,2,FALSE)</f>
        <v>7.0000000000000007E-2</v>
      </c>
      <c r="AA340" s="11">
        <f t="shared" si="57"/>
        <v>125.92160000000003</v>
      </c>
      <c r="AB340" s="15">
        <f t="shared" si="58"/>
        <v>1403.1264000000001</v>
      </c>
      <c r="AC340" s="15">
        <f t="shared" si="59"/>
        <v>203.1264000000001</v>
      </c>
    </row>
    <row r="341" spans="1:29" x14ac:dyDescent="0.35">
      <c r="A341" t="s">
        <v>746</v>
      </c>
      <c r="B341" t="s">
        <v>747</v>
      </c>
      <c r="C341" t="s">
        <v>70</v>
      </c>
      <c r="D341" t="s">
        <v>71</v>
      </c>
      <c r="E341" s="1">
        <v>45352</v>
      </c>
      <c r="F341" s="24">
        <f t="shared" si="50"/>
        <v>2024</v>
      </c>
      <c r="G341" s="24" t="str">
        <f t="shared" si="51"/>
        <v>March</v>
      </c>
      <c r="H341" s="24" t="str">
        <f t="shared" si="52"/>
        <v>Friday</v>
      </c>
      <c r="I341" s="22">
        <v>0.66357638888888892</v>
      </c>
      <c r="J341" s="24">
        <f t="shared" si="53"/>
        <v>15</v>
      </c>
      <c r="K341" s="24">
        <f t="shared" si="54"/>
        <v>55</v>
      </c>
      <c r="L341" s="24">
        <f t="shared" si="55"/>
        <v>33</v>
      </c>
      <c r="M341" t="s">
        <v>33</v>
      </c>
      <c r="N341" t="s">
        <v>34</v>
      </c>
      <c r="O341" s="24">
        <v>8</v>
      </c>
      <c r="P341" s="11">
        <v>471.22</v>
      </c>
      <c r="Q341" s="26">
        <f>VLOOKUP('Prepared Sales Dataset'!M341,'Product-cost'!A:B,2,FALSE)</f>
        <v>200</v>
      </c>
      <c r="R341" t="s">
        <v>55</v>
      </c>
      <c r="S341" t="s">
        <v>190</v>
      </c>
      <c r="T341" t="s">
        <v>125</v>
      </c>
      <c r="U341" t="s">
        <v>921</v>
      </c>
      <c r="V341" s="17">
        <f>P341*O341</f>
        <v>3769.76</v>
      </c>
      <c r="W341" s="19">
        <f>O341*Q341</f>
        <v>1600</v>
      </c>
      <c r="X341" s="13">
        <f>VLOOKUP(R341,Taxrate!A:B,2,FALSE)</f>
        <v>7.0000000000000007E-2</v>
      </c>
      <c r="Y341" s="15">
        <f t="shared" si="56"/>
        <v>263.88320000000004</v>
      </c>
      <c r="Z341" s="9">
        <f>VLOOKUP(M341,'Discount Rate'!A:B,2,FALSE)</f>
        <v>0.08</v>
      </c>
      <c r="AA341" s="11">
        <f t="shared" si="57"/>
        <v>301.58080000000001</v>
      </c>
      <c r="AB341" s="15">
        <f t="shared" si="58"/>
        <v>3204.2960000000003</v>
      </c>
      <c r="AC341" s="15">
        <f t="shared" si="59"/>
        <v>1604.2960000000003</v>
      </c>
    </row>
    <row r="342" spans="1:29" x14ac:dyDescent="0.35">
      <c r="A342" t="s">
        <v>748</v>
      </c>
      <c r="B342" t="s">
        <v>749</v>
      </c>
      <c r="C342" t="s">
        <v>195</v>
      </c>
      <c r="D342" t="s">
        <v>63</v>
      </c>
      <c r="E342" s="1">
        <v>45708</v>
      </c>
      <c r="F342" s="24">
        <f t="shared" si="50"/>
        <v>2025</v>
      </c>
      <c r="G342" s="24" t="str">
        <f t="shared" si="51"/>
        <v>February</v>
      </c>
      <c r="H342" s="24" t="str">
        <f t="shared" si="52"/>
        <v>Thursday</v>
      </c>
      <c r="I342" s="22">
        <v>0.68821759259259263</v>
      </c>
      <c r="J342" s="24">
        <f t="shared" si="53"/>
        <v>16</v>
      </c>
      <c r="K342" s="24">
        <f t="shared" si="54"/>
        <v>31</v>
      </c>
      <c r="L342" s="24">
        <f t="shared" si="55"/>
        <v>2</v>
      </c>
      <c r="M342" t="s">
        <v>33</v>
      </c>
      <c r="N342" t="s">
        <v>34</v>
      </c>
      <c r="O342" s="24">
        <v>5</v>
      </c>
      <c r="P342" s="11">
        <v>467.97</v>
      </c>
      <c r="Q342" s="26">
        <f>VLOOKUP('Prepared Sales Dataset'!M342,'Product-cost'!A:B,2,FALSE)</f>
        <v>200</v>
      </c>
      <c r="R342" t="s">
        <v>35</v>
      </c>
      <c r="S342" t="s">
        <v>64</v>
      </c>
      <c r="U342" t="s">
        <v>923</v>
      </c>
      <c r="V342" s="17">
        <f>P342*O342</f>
        <v>2339.8500000000004</v>
      </c>
      <c r="W342" s="19">
        <f>O342*Q342</f>
        <v>1000</v>
      </c>
      <c r="X342" s="13">
        <f>VLOOKUP(R342,Taxrate!A:B,2,FALSE)</f>
        <v>0.2</v>
      </c>
      <c r="Y342" s="15">
        <f t="shared" si="56"/>
        <v>467.97000000000008</v>
      </c>
      <c r="Z342" s="9">
        <f>VLOOKUP(M342,'Discount Rate'!A:B,2,FALSE)</f>
        <v>0.08</v>
      </c>
      <c r="AA342" s="11">
        <f t="shared" si="57"/>
        <v>187.18800000000005</v>
      </c>
      <c r="AB342" s="15">
        <f t="shared" si="58"/>
        <v>1684.6920000000002</v>
      </c>
      <c r="AC342" s="15">
        <f t="shared" si="59"/>
        <v>684.69200000000023</v>
      </c>
    </row>
    <row r="343" spans="1:29" x14ac:dyDescent="0.35">
      <c r="A343" t="s">
        <v>751</v>
      </c>
      <c r="B343" t="s">
        <v>752</v>
      </c>
      <c r="C343" t="s">
        <v>77</v>
      </c>
      <c r="D343" t="s">
        <v>63</v>
      </c>
      <c r="E343" s="1">
        <v>44985</v>
      </c>
      <c r="F343" s="24">
        <f t="shared" si="50"/>
        <v>2023</v>
      </c>
      <c r="G343" s="24" t="str">
        <f t="shared" si="51"/>
        <v>February</v>
      </c>
      <c r="H343" s="24" t="str">
        <f t="shared" si="52"/>
        <v>Tuesday</v>
      </c>
      <c r="I343" s="22">
        <v>0.8454976851851852</v>
      </c>
      <c r="J343" s="24">
        <f t="shared" si="53"/>
        <v>20</v>
      </c>
      <c r="K343" s="24">
        <f t="shared" si="54"/>
        <v>17</v>
      </c>
      <c r="L343" s="24">
        <f t="shared" si="55"/>
        <v>31</v>
      </c>
      <c r="M343" t="s">
        <v>17</v>
      </c>
      <c r="N343" t="s">
        <v>18</v>
      </c>
      <c r="O343" s="24">
        <v>6</v>
      </c>
      <c r="P343" s="11">
        <v>1082.79</v>
      </c>
      <c r="Q343" s="26">
        <f>VLOOKUP('Prepared Sales Dataset'!M343,'Product-cost'!A:B,2,FALSE)</f>
        <v>600</v>
      </c>
      <c r="R343" t="s">
        <v>28</v>
      </c>
      <c r="S343" t="s">
        <v>80</v>
      </c>
      <c r="T343" t="s">
        <v>37</v>
      </c>
      <c r="U343" t="s">
        <v>921</v>
      </c>
      <c r="V343" s="17">
        <f>P343*O343</f>
        <v>6496.74</v>
      </c>
      <c r="W343" s="19">
        <f>O343*Q343</f>
        <v>3600</v>
      </c>
      <c r="X343" s="13">
        <f>VLOOKUP(R343,Taxrate!A:B,2,FALSE)</f>
        <v>0.1</v>
      </c>
      <c r="Y343" s="15">
        <f t="shared" si="56"/>
        <v>649.67399999999998</v>
      </c>
      <c r="Z343" s="9">
        <f>VLOOKUP(M343,'Discount Rate'!A:B,2,FALSE)</f>
        <v>0.05</v>
      </c>
      <c r="AA343" s="11">
        <f t="shared" si="57"/>
        <v>324.83699999999999</v>
      </c>
      <c r="AB343" s="15">
        <f t="shared" si="58"/>
        <v>5522.2289999999994</v>
      </c>
      <c r="AC343" s="15">
        <f t="shared" si="59"/>
        <v>1922.2289999999994</v>
      </c>
    </row>
    <row r="344" spans="1:29" x14ac:dyDescent="0.35">
      <c r="A344" t="s">
        <v>753</v>
      </c>
      <c r="B344" t="s">
        <v>754</v>
      </c>
      <c r="C344" t="s">
        <v>62</v>
      </c>
      <c r="D344" t="s">
        <v>63</v>
      </c>
      <c r="E344" s="1">
        <v>45046</v>
      </c>
      <c r="F344" s="24">
        <f t="shared" si="50"/>
        <v>2023</v>
      </c>
      <c r="G344" s="24" t="str">
        <f t="shared" si="51"/>
        <v>April</v>
      </c>
      <c r="H344" s="24" t="str">
        <f t="shared" si="52"/>
        <v>Sunday</v>
      </c>
      <c r="I344" s="22">
        <v>0.56245370370370373</v>
      </c>
      <c r="J344" s="24">
        <f t="shared" si="53"/>
        <v>13</v>
      </c>
      <c r="K344" s="24">
        <f t="shared" si="54"/>
        <v>29</v>
      </c>
      <c r="L344" s="24">
        <f t="shared" si="55"/>
        <v>56</v>
      </c>
      <c r="M344" t="s">
        <v>26</v>
      </c>
      <c r="N344" t="s">
        <v>27</v>
      </c>
      <c r="O344" s="24">
        <v>1</v>
      </c>
      <c r="P344" s="11">
        <v>605.85</v>
      </c>
      <c r="Q344" s="26">
        <f>VLOOKUP('Prepared Sales Dataset'!M344,'Product-cost'!A:B,2,FALSE)</f>
        <v>300</v>
      </c>
      <c r="R344" t="s">
        <v>28</v>
      </c>
      <c r="S344" t="s">
        <v>64</v>
      </c>
      <c r="T344" t="s">
        <v>249</v>
      </c>
      <c r="U344" t="s">
        <v>921</v>
      </c>
      <c r="V344" s="17">
        <f>P344*O344</f>
        <v>605.85</v>
      </c>
      <c r="W344" s="19">
        <f>O344*Q344</f>
        <v>300</v>
      </c>
      <c r="X344" s="13">
        <f>VLOOKUP(R344,Taxrate!A:B,2,FALSE)</f>
        <v>0.1</v>
      </c>
      <c r="Y344" s="15">
        <f t="shared" si="56"/>
        <v>60.585000000000008</v>
      </c>
      <c r="Z344" s="9">
        <f>VLOOKUP(M344,'Discount Rate'!A:B,2,FALSE)</f>
        <v>0.1</v>
      </c>
      <c r="AA344" s="11">
        <f t="shared" si="57"/>
        <v>60.585000000000008</v>
      </c>
      <c r="AB344" s="15">
        <f t="shared" si="58"/>
        <v>484.68</v>
      </c>
      <c r="AC344" s="15">
        <f t="shared" si="59"/>
        <v>184.68</v>
      </c>
    </row>
    <row r="345" spans="1:29" x14ac:dyDescent="0.35">
      <c r="A345" t="s">
        <v>755</v>
      </c>
      <c r="B345" t="s">
        <v>756</v>
      </c>
      <c r="C345" t="s">
        <v>98</v>
      </c>
      <c r="D345" t="s">
        <v>99</v>
      </c>
      <c r="E345" s="1">
        <v>46040</v>
      </c>
      <c r="F345" s="24">
        <f t="shared" si="50"/>
        <v>2026</v>
      </c>
      <c r="G345" s="24" t="str">
        <f t="shared" si="51"/>
        <v>January</v>
      </c>
      <c r="H345" s="24" t="str">
        <f t="shared" si="52"/>
        <v>Sunday</v>
      </c>
      <c r="I345" s="22">
        <v>0.88949074074074075</v>
      </c>
      <c r="J345" s="24">
        <f t="shared" si="53"/>
        <v>21</v>
      </c>
      <c r="K345" s="24">
        <f t="shared" si="54"/>
        <v>20</v>
      </c>
      <c r="L345" s="24">
        <f t="shared" si="55"/>
        <v>52</v>
      </c>
      <c r="M345" t="s">
        <v>33</v>
      </c>
      <c r="N345" t="s">
        <v>34</v>
      </c>
      <c r="O345" s="24">
        <v>12</v>
      </c>
      <c r="P345" s="11">
        <v>339.17</v>
      </c>
      <c r="Q345" s="26">
        <f>VLOOKUP('Prepared Sales Dataset'!M345,'Product-cost'!A:B,2,FALSE)</f>
        <v>200</v>
      </c>
      <c r="R345" t="s">
        <v>59</v>
      </c>
      <c r="S345" t="s">
        <v>216</v>
      </c>
      <c r="U345" t="s">
        <v>923</v>
      </c>
      <c r="V345" s="17">
        <f>P345*O345</f>
        <v>4070.04</v>
      </c>
      <c r="W345" s="19">
        <f>O345*Q345</f>
        <v>2400</v>
      </c>
      <c r="X345" s="13">
        <f>VLOOKUP(R345,Taxrate!A:B,2,FALSE)</f>
        <v>0.12</v>
      </c>
      <c r="Y345" s="15">
        <f t="shared" si="56"/>
        <v>488.40479999999997</v>
      </c>
      <c r="Z345" s="9">
        <f>VLOOKUP(M345,'Discount Rate'!A:B,2,FALSE)</f>
        <v>0.08</v>
      </c>
      <c r="AA345" s="11">
        <f t="shared" si="57"/>
        <v>325.60320000000002</v>
      </c>
      <c r="AB345" s="15">
        <f t="shared" si="58"/>
        <v>3256.0320000000002</v>
      </c>
      <c r="AC345" s="15">
        <f t="shared" si="59"/>
        <v>856.03200000000015</v>
      </c>
    </row>
    <row r="346" spans="1:29" x14ac:dyDescent="0.35">
      <c r="A346" t="s">
        <v>757</v>
      </c>
      <c r="B346" t="s">
        <v>39</v>
      </c>
      <c r="C346" t="s">
        <v>15</v>
      </c>
      <c r="D346" t="s">
        <v>16</v>
      </c>
      <c r="E346" s="1">
        <v>45243</v>
      </c>
      <c r="F346" s="24">
        <f t="shared" si="50"/>
        <v>2023</v>
      </c>
      <c r="G346" s="24" t="str">
        <f t="shared" si="51"/>
        <v>November</v>
      </c>
      <c r="H346" s="24" t="str">
        <f t="shared" si="52"/>
        <v>Monday</v>
      </c>
      <c r="I346" s="22">
        <v>0.88391203703703702</v>
      </c>
      <c r="J346" s="24">
        <f t="shared" si="53"/>
        <v>21</v>
      </c>
      <c r="K346" s="24">
        <f t="shared" si="54"/>
        <v>12</v>
      </c>
      <c r="L346" s="24">
        <f t="shared" si="55"/>
        <v>50</v>
      </c>
      <c r="M346" t="s">
        <v>49</v>
      </c>
      <c r="N346" t="s">
        <v>50</v>
      </c>
      <c r="O346" s="24">
        <v>14</v>
      </c>
      <c r="P346" s="11">
        <v>269.07</v>
      </c>
      <c r="Q346" s="26">
        <f>VLOOKUP('Prepared Sales Dataset'!M346,'Product-cost'!A:B,2,FALSE)</f>
        <v>150</v>
      </c>
      <c r="R346" t="s">
        <v>59</v>
      </c>
      <c r="S346" t="s">
        <v>20</v>
      </c>
      <c r="U346" t="s">
        <v>923</v>
      </c>
      <c r="V346" s="17">
        <f>P346*O346</f>
        <v>3766.98</v>
      </c>
      <c r="W346" s="19">
        <f>O346*Q346</f>
        <v>2100</v>
      </c>
      <c r="X346" s="13">
        <f>VLOOKUP(R346,Taxrate!A:B,2,FALSE)</f>
        <v>0.12</v>
      </c>
      <c r="Y346" s="15">
        <f t="shared" si="56"/>
        <v>452.0376</v>
      </c>
      <c r="Z346" s="9">
        <f>VLOOKUP(M346,'Discount Rate'!A:B,2,FALSE)</f>
        <v>7.0000000000000007E-2</v>
      </c>
      <c r="AA346" s="11">
        <f t="shared" si="57"/>
        <v>263.68860000000001</v>
      </c>
      <c r="AB346" s="15">
        <f t="shared" si="58"/>
        <v>3051.2538</v>
      </c>
      <c r="AC346" s="15">
        <f t="shared" si="59"/>
        <v>951.25379999999996</v>
      </c>
    </row>
    <row r="347" spans="1:29" x14ac:dyDescent="0.35">
      <c r="A347" t="s">
        <v>758</v>
      </c>
      <c r="B347" t="s">
        <v>759</v>
      </c>
      <c r="C347" t="s">
        <v>128</v>
      </c>
      <c r="D347" t="s">
        <v>63</v>
      </c>
      <c r="E347" s="1">
        <v>45211</v>
      </c>
      <c r="F347" s="24">
        <f t="shared" si="50"/>
        <v>2023</v>
      </c>
      <c r="G347" s="24" t="str">
        <f t="shared" si="51"/>
        <v>October</v>
      </c>
      <c r="H347" s="24" t="str">
        <f t="shared" si="52"/>
        <v>Thursday</v>
      </c>
      <c r="I347" s="22">
        <v>0.7318055555555556</v>
      </c>
      <c r="J347" s="24">
        <f t="shared" si="53"/>
        <v>17</v>
      </c>
      <c r="K347" s="24">
        <f t="shared" si="54"/>
        <v>33</v>
      </c>
      <c r="L347" s="24">
        <f t="shared" si="55"/>
        <v>48</v>
      </c>
      <c r="M347" t="s">
        <v>33</v>
      </c>
      <c r="N347" t="s">
        <v>34</v>
      </c>
      <c r="O347" s="24">
        <v>5</v>
      </c>
      <c r="P347" s="11">
        <v>506</v>
      </c>
      <c r="Q347" s="26">
        <f>VLOOKUP('Prepared Sales Dataset'!M347,'Product-cost'!A:B,2,FALSE)</f>
        <v>200</v>
      </c>
      <c r="R347" t="s">
        <v>55</v>
      </c>
      <c r="S347" t="s">
        <v>64</v>
      </c>
      <c r="T347" t="s">
        <v>44</v>
      </c>
      <c r="U347" t="s">
        <v>921</v>
      </c>
      <c r="V347" s="17">
        <f>P347*O347</f>
        <v>2530</v>
      </c>
      <c r="W347" s="19">
        <f>O347*Q347</f>
        <v>1000</v>
      </c>
      <c r="X347" s="13">
        <f>VLOOKUP(R347,Taxrate!A:B,2,FALSE)</f>
        <v>7.0000000000000007E-2</v>
      </c>
      <c r="Y347" s="15">
        <f t="shared" si="56"/>
        <v>177.10000000000002</v>
      </c>
      <c r="Z347" s="9">
        <f>VLOOKUP(M347,'Discount Rate'!A:B,2,FALSE)</f>
        <v>0.08</v>
      </c>
      <c r="AA347" s="11">
        <f t="shared" si="57"/>
        <v>202.4</v>
      </c>
      <c r="AB347" s="15">
        <f t="shared" si="58"/>
        <v>2150.5</v>
      </c>
      <c r="AC347" s="15">
        <f t="shared" si="59"/>
        <v>1150.5</v>
      </c>
    </row>
    <row r="348" spans="1:29" x14ac:dyDescent="0.35">
      <c r="A348" t="s">
        <v>760</v>
      </c>
      <c r="B348" t="s">
        <v>761</v>
      </c>
      <c r="C348" t="s">
        <v>15</v>
      </c>
      <c r="D348" t="s">
        <v>16</v>
      </c>
      <c r="E348" s="1">
        <v>44965</v>
      </c>
      <c r="F348" s="24">
        <f t="shared" si="50"/>
        <v>2023</v>
      </c>
      <c r="G348" s="24" t="str">
        <f t="shared" si="51"/>
        <v>February</v>
      </c>
      <c r="H348" s="24" t="str">
        <f t="shared" si="52"/>
        <v>Wednesday</v>
      </c>
      <c r="I348" s="22">
        <v>0.85210648148148149</v>
      </c>
      <c r="J348" s="24">
        <f t="shared" si="53"/>
        <v>20</v>
      </c>
      <c r="K348" s="24">
        <f t="shared" si="54"/>
        <v>27</v>
      </c>
      <c r="L348" s="24">
        <f t="shared" si="55"/>
        <v>2</v>
      </c>
      <c r="M348" t="s">
        <v>26</v>
      </c>
      <c r="N348" t="s">
        <v>27</v>
      </c>
      <c r="O348" s="24">
        <v>13</v>
      </c>
      <c r="P348" s="11">
        <v>657.95</v>
      </c>
      <c r="Q348" s="26">
        <f>VLOOKUP('Prepared Sales Dataset'!M348,'Product-cost'!A:B,2,FALSE)</f>
        <v>300</v>
      </c>
      <c r="R348" t="s">
        <v>42</v>
      </c>
      <c r="S348" t="s">
        <v>20</v>
      </c>
      <c r="T348" t="s">
        <v>21</v>
      </c>
      <c r="U348" t="s">
        <v>921</v>
      </c>
      <c r="V348" s="17">
        <f>P348*O348</f>
        <v>8553.35</v>
      </c>
      <c r="W348" s="19">
        <f>O348*Q348</f>
        <v>3900</v>
      </c>
      <c r="X348" s="13">
        <f>VLOOKUP(R348,Taxrate!A:B,2,FALSE)</f>
        <v>0.15</v>
      </c>
      <c r="Y348" s="15">
        <f t="shared" si="56"/>
        <v>1283.0025000000001</v>
      </c>
      <c r="Z348" s="9">
        <f>VLOOKUP(M348,'Discount Rate'!A:B,2,FALSE)</f>
        <v>0.1</v>
      </c>
      <c r="AA348" s="11">
        <f t="shared" si="57"/>
        <v>855.33500000000004</v>
      </c>
      <c r="AB348" s="15">
        <f t="shared" si="58"/>
        <v>6415.0125000000007</v>
      </c>
      <c r="AC348" s="15">
        <f t="shared" si="59"/>
        <v>2515.0125000000007</v>
      </c>
    </row>
    <row r="349" spans="1:29" x14ac:dyDescent="0.35">
      <c r="A349" t="s">
        <v>762</v>
      </c>
      <c r="B349" t="s">
        <v>325</v>
      </c>
      <c r="C349" t="s">
        <v>179</v>
      </c>
      <c r="D349" t="s">
        <v>41</v>
      </c>
      <c r="E349" s="1">
        <v>45305</v>
      </c>
      <c r="F349" s="24">
        <f t="shared" si="50"/>
        <v>2024</v>
      </c>
      <c r="G349" s="24" t="str">
        <f t="shared" si="51"/>
        <v>January</v>
      </c>
      <c r="H349" s="24" t="str">
        <f t="shared" si="52"/>
        <v>Sunday</v>
      </c>
      <c r="I349" s="22">
        <v>0.33690972222222221</v>
      </c>
      <c r="J349" s="24">
        <f t="shared" si="53"/>
        <v>8</v>
      </c>
      <c r="K349" s="24">
        <f t="shared" si="54"/>
        <v>5</v>
      </c>
      <c r="L349" s="24">
        <f t="shared" si="55"/>
        <v>9</v>
      </c>
      <c r="M349" t="s">
        <v>33</v>
      </c>
      <c r="N349" t="s">
        <v>34</v>
      </c>
      <c r="O349" s="24">
        <v>6</v>
      </c>
      <c r="P349" s="11">
        <v>491.03</v>
      </c>
      <c r="Q349" s="26">
        <f>VLOOKUP('Prepared Sales Dataset'!M349,'Product-cost'!A:B,2,FALSE)</f>
        <v>200</v>
      </c>
      <c r="R349" t="s">
        <v>59</v>
      </c>
      <c r="S349" t="s">
        <v>90</v>
      </c>
      <c r="T349" t="s">
        <v>21</v>
      </c>
      <c r="U349" t="s">
        <v>921</v>
      </c>
      <c r="V349" s="17">
        <f>P349*O349</f>
        <v>2946.18</v>
      </c>
      <c r="W349" s="19">
        <f>O349*Q349</f>
        <v>1200</v>
      </c>
      <c r="X349" s="13">
        <f>VLOOKUP(R349,Taxrate!A:B,2,FALSE)</f>
        <v>0.12</v>
      </c>
      <c r="Y349" s="15">
        <f t="shared" si="56"/>
        <v>353.54159999999996</v>
      </c>
      <c r="Z349" s="9">
        <f>VLOOKUP(M349,'Discount Rate'!A:B,2,FALSE)</f>
        <v>0.08</v>
      </c>
      <c r="AA349" s="11">
        <f t="shared" si="57"/>
        <v>235.6944</v>
      </c>
      <c r="AB349" s="15">
        <f t="shared" si="58"/>
        <v>2356.944</v>
      </c>
      <c r="AC349" s="15">
        <f t="shared" si="59"/>
        <v>1156.944</v>
      </c>
    </row>
    <row r="350" spans="1:29" x14ac:dyDescent="0.35">
      <c r="A350" t="s">
        <v>763</v>
      </c>
      <c r="B350" t="s">
        <v>764</v>
      </c>
      <c r="C350" t="s">
        <v>67</v>
      </c>
      <c r="D350" t="s">
        <v>16</v>
      </c>
      <c r="E350" s="1">
        <v>45129</v>
      </c>
      <c r="F350" s="24">
        <f t="shared" si="50"/>
        <v>2023</v>
      </c>
      <c r="G350" s="24" t="str">
        <f t="shared" si="51"/>
        <v>July</v>
      </c>
      <c r="H350" s="24" t="str">
        <f t="shared" si="52"/>
        <v>Saturday</v>
      </c>
      <c r="I350" s="22">
        <v>0.70468750000000002</v>
      </c>
      <c r="J350" s="24">
        <f t="shared" si="53"/>
        <v>16</v>
      </c>
      <c r="K350" s="24">
        <f t="shared" si="54"/>
        <v>54</v>
      </c>
      <c r="L350" s="24">
        <f t="shared" si="55"/>
        <v>45</v>
      </c>
      <c r="M350" t="s">
        <v>78</v>
      </c>
      <c r="N350" t="s">
        <v>79</v>
      </c>
      <c r="O350" s="24">
        <v>10</v>
      </c>
      <c r="P350" s="11">
        <v>170.51</v>
      </c>
      <c r="Q350" s="26">
        <f>VLOOKUP('Prepared Sales Dataset'!M350,'Product-cost'!A:B,2,FALSE)</f>
        <v>50</v>
      </c>
      <c r="R350" t="s">
        <v>55</v>
      </c>
      <c r="S350" t="s">
        <v>36</v>
      </c>
      <c r="T350" t="s">
        <v>74</v>
      </c>
      <c r="U350" t="s">
        <v>922</v>
      </c>
      <c r="V350" s="17">
        <f>P350*O350</f>
        <v>1705.1</v>
      </c>
      <c r="W350" s="19">
        <f>O350*Q350</f>
        <v>500</v>
      </c>
      <c r="X350" s="13">
        <f>VLOOKUP(R350,Taxrate!A:B,2,FALSE)</f>
        <v>7.0000000000000007E-2</v>
      </c>
      <c r="Y350" s="15">
        <f t="shared" si="56"/>
        <v>119.357</v>
      </c>
      <c r="Z350" s="9">
        <f>VLOOKUP(M350,'Discount Rate'!A:B,2,FALSE)</f>
        <v>0.03</v>
      </c>
      <c r="AA350" s="11">
        <f t="shared" si="57"/>
        <v>51.152999999999999</v>
      </c>
      <c r="AB350" s="15">
        <f t="shared" si="58"/>
        <v>1534.59</v>
      </c>
      <c r="AC350" s="15">
        <f t="shared" si="59"/>
        <v>1034.5899999999999</v>
      </c>
    </row>
    <row r="351" spans="1:29" x14ac:dyDescent="0.35">
      <c r="A351" t="s">
        <v>765</v>
      </c>
      <c r="B351" t="s">
        <v>766</v>
      </c>
      <c r="C351" t="s">
        <v>15</v>
      </c>
      <c r="D351" t="s">
        <v>16</v>
      </c>
      <c r="E351" s="1">
        <v>45152</v>
      </c>
      <c r="F351" s="24">
        <f t="shared" si="50"/>
        <v>2023</v>
      </c>
      <c r="G351" s="24" t="str">
        <f t="shared" si="51"/>
        <v>August</v>
      </c>
      <c r="H351" s="24" t="str">
        <f t="shared" si="52"/>
        <v>Monday</v>
      </c>
      <c r="I351" s="22">
        <v>0.658599537037037</v>
      </c>
      <c r="J351" s="24">
        <f t="shared" si="53"/>
        <v>15</v>
      </c>
      <c r="K351" s="24">
        <f t="shared" si="54"/>
        <v>48</v>
      </c>
      <c r="L351" s="24">
        <f t="shared" si="55"/>
        <v>23</v>
      </c>
      <c r="M351" t="s">
        <v>33</v>
      </c>
      <c r="N351" t="s">
        <v>34</v>
      </c>
      <c r="O351" s="24">
        <v>1</v>
      </c>
      <c r="P351" s="11">
        <v>506</v>
      </c>
      <c r="Q351" s="26">
        <f>VLOOKUP('Prepared Sales Dataset'!M351,'Product-cost'!A:B,2,FALSE)</f>
        <v>200</v>
      </c>
      <c r="R351" t="s">
        <v>42</v>
      </c>
      <c r="S351" t="s">
        <v>36</v>
      </c>
      <c r="U351" t="s">
        <v>923</v>
      </c>
      <c r="V351" s="17">
        <f>P351*O351</f>
        <v>506</v>
      </c>
      <c r="W351" s="19">
        <f>O351*Q351</f>
        <v>200</v>
      </c>
      <c r="X351" s="13">
        <f>VLOOKUP(R351,Taxrate!A:B,2,FALSE)</f>
        <v>0.15</v>
      </c>
      <c r="Y351" s="15">
        <f t="shared" si="56"/>
        <v>75.899999999999991</v>
      </c>
      <c r="Z351" s="9">
        <f>VLOOKUP(M351,'Discount Rate'!A:B,2,FALSE)</f>
        <v>0.08</v>
      </c>
      <c r="AA351" s="11">
        <f t="shared" si="57"/>
        <v>40.480000000000004</v>
      </c>
      <c r="AB351" s="15">
        <f t="shared" si="58"/>
        <v>389.62</v>
      </c>
      <c r="AC351" s="15">
        <f t="shared" si="59"/>
        <v>189.62</v>
      </c>
    </row>
    <row r="352" spans="1:29" x14ac:dyDescent="0.35">
      <c r="A352" t="s">
        <v>767</v>
      </c>
      <c r="B352" t="s">
        <v>189</v>
      </c>
      <c r="C352" t="s">
        <v>128</v>
      </c>
      <c r="D352" t="s">
        <v>63</v>
      </c>
      <c r="E352" s="1">
        <v>45313</v>
      </c>
      <c r="F352" s="24">
        <f t="shared" si="50"/>
        <v>2024</v>
      </c>
      <c r="G352" s="24" t="str">
        <f t="shared" si="51"/>
        <v>January</v>
      </c>
      <c r="H352" s="24" t="str">
        <f t="shared" si="52"/>
        <v>Monday</v>
      </c>
      <c r="I352" s="22">
        <v>0.91076388888888893</v>
      </c>
      <c r="J352" s="24">
        <f t="shared" si="53"/>
        <v>21</v>
      </c>
      <c r="K352" s="24">
        <f t="shared" si="54"/>
        <v>51</v>
      </c>
      <c r="L352" s="24">
        <f t="shared" si="55"/>
        <v>30</v>
      </c>
      <c r="M352" t="s">
        <v>33</v>
      </c>
      <c r="N352" t="s">
        <v>34</v>
      </c>
      <c r="O352" s="24">
        <v>11</v>
      </c>
      <c r="P352" s="11">
        <v>341.03</v>
      </c>
      <c r="Q352" s="26">
        <f>VLOOKUP('Prepared Sales Dataset'!M352,'Product-cost'!A:B,2,FALSE)</f>
        <v>200</v>
      </c>
      <c r="R352" t="s">
        <v>42</v>
      </c>
      <c r="S352" t="s">
        <v>64</v>
      </c>
      <c r="T352" t="s">
        <v>142</v>
      </c>
      <c r="U352" t="s">
        <v>921</v>
      </c>
      <c r="V352" s="17">
        <f>P352*O352</f>
        <v>3751.33</v>
      </c>
      <c r="W352" s="19">
        <f>O352*Q352</f>
        <v>2200</v>
      </c>
      <c r="X352" s="13">
        <f>VLOOKUP(R352,Taxrate!A:B,2,FALSE)</f>
        <v>0.15</v>
      </c>
      <c r="Y352" s="15">
        <f t="shared" si="56"/>
        <v>562.69949999999994</v>
      </c>
      <c r="Z352" s="9">
        <f>VLOOKUP(M352,'Discount Rate'!A:B,2,FALSE)</f>
        <v>0.08</v>
      </c>
      <c r="AA352" s="11">
        <f t="shared" si="57"/>
        <v>300.10640000000001</v>
      </c>
      <c r="AB352" s="15">
        <f t="shared" si="58"/>
        <v>2888.5241000000001</v>
      </c>
      <c r="AC352" s="15">
        <f t="shared" si="59"/>
        <v>688.52410000000009</v>
      </c>
    </row>
    <row r="353" spans="1:29" x14ac:dyDescent="0.35">
      <c r="A353" t="s">
        <v>768</v>
      </c>
      <c r="B353" t="s">
        <v>769</v>
      </c>
      <c r="C353" t="s">
        <v>70</v>
      </c>
      <c r="D353" t="s">
        <v>71</v>
      </c>
      <c r="E353" s="1">
        <v>45334</v>
      </c>
      <c r="F353" s="24">
        <f t="shared" si="50"/>
        <v>2024</v>
      </c>
      <c r="G353" s="24" t="str">
        <f t="shared" si="51"/>
        <v>February</v>
      </c>
      <c r="H353" s="24" t="str">
        <f t="shared" si="52"/>
        <v>Monday</v>
      </c>
      <c r="I353" s="22">
        <v>0.48534722222222221</v>
      </c>
      <c r="J353" s="24">
        <f t="shared" si="53"/>
        <v>11</v>
      </c>
      <c r="K353" s="24">
        <f t="shared" si="54"/>
        <v>38</v>
      </c>
      <c r="L353" s="24">
        <f t="shared" si="55"/>
        <v>54</v>
      </c>
      <c r="M353" t="s">
        <v>78</v>
      </c>
      <c r="N353" t="s">
        <v>79</v>
      </c>
      <c r="O353" s="24">
        <v>14</v>
      </c>
      <c r="P353" s="11">
        <v>157.43</v>
      </c>
      <c r="Q353" s="26">
        <f>VLOOKUP('Prepared Sales Dataset'!M353,'Product-cost'!A:B,2,FALSE)</f>
        <v>50</v>
      </c>
      <c r="R353" t="s">
        <v>59</v>
      </c>
      <c r="S353" t="s">
        <v>73</v>
      </c>
      <c r="T353" t="s">
        <v>142</v>
      </c>
      <c r="U353" t="s">
        <v>921</v>
      </c>
      <c r="V353" s="17">
        <f>P353*O353</f>
        <v>2204.02</v>
      </c>
      <c r="W353" s="19">
        <f>O353*Q353</f>
        <v>700</v>
      </c>
      <c r="X353" s="13">
        <f>VLOOKUP(R353,Taxrate!A:B,2,FALSE)</f>
        <v>0.12</v>
      </c>
      <c r="Y353" s="15">
        <f t="shared" si="56"/>
        <v>264.48239999999998</v>
      </c>
      <c r="Z353" s="9">
        <f>VLOOKUP(M353,'Discount Rate'!A:B,2,FALSE)</f>
        <v>0.03</v>
      </c>
      <c r="AA353" s="11">
        <f t="shared" si="57"/>
        <v>66.120599999999996</v>
      </c>
      <c r="AB353" s="15">
        <f t="shared" si="58"/>
        <v>1873.4169999999999</v>
      </c>
      <c r="AC353" s="15">
        <f t="shared" si="59"/>
        <v>1173.4169999999999</v>
      </c>
    </row>
    <row r="354" spans="1:29" x14ac:dyDescent="0.35">
      <c r="A354" t="s">
        <v>770</v>
      </c>
      <c r="B354" t="s">
        <v>771</v>
      </c>
      <c r="C354" t="s">
        <v>136</v>
      </c>
      <c r="D354" t="s">
        <v>25</v>
      </c>
      <c r="E354" s="1">
        <v>45228</v>
      </c>
      <c r="F354" s="24">
        <f t="shared" si="50"/>
        <v>2023</v>
      </c>
      <c r="G354" s="24" t="str">
        <f t="shared" si="51"/>
        <v>October</v>
      </c>
      <c r="H354" s="24" t="str">
        <f t="shared" si="52"/>
        <v>Sunday</v>
      </c>
      <c r="I354" s="22">
        <v>0.38004629629629627</v>
      </c>
      <c r="J354" s="24">
        <f t="shared" si="53"/>
        <v>9</v>
      </c>
      <c r="K354" s="24">
        <f t="shared" si="54"/>
        <v>7</v>
      </c>
      <c r="L354" s="24">
        <f t="shared" si="55"/>
        <v>16</v>
      </c>
      <c r="M354" t="s">
        <v>78</v>
      </c>
      <c r="N354" t="s">
        <v>79</v>
      </c>
      <c r="O354" s="24">
        <v>11</v>
      </c>
      <c r="P354" s="11">
        <v>122.23</v>
      </c>
      <c r="Q354" s="26">
        <f>VLOOKUP('Prepared Sales Dataset'!M354,'Product-cost'!A:B,2,FALSE)</f>
        <v>50</v>
      </c>
      <c r="R354" t="s">
        <v>55</v>
      </c>
      <c r="S354" t="s">
        <v>56</v>
      </c>
      <c r="T354" t="s">
        <v>125</v>
      </c>
      <c r="U354" t="s">
        <v>921</v>
      </c>
      <c r="V354" s="17">
        <f>P354*O354</f>
        <v>1344.53</v>
      </c>
      <c r="W354" s="19">
        <f>O354*Q354</f>
        <v>550</v>
      </c>
      <c r="X354" s="13">
        <f>VLOOKUP(R354,Taxrate!A:B,2,FALSE)</f>
        <v>7.0000000000000007E-2</v>
      </c>
      <c r="Y354" s="15">
        <f t="shared" si="56"/>
        <v>94.117100000000008</v>
      </c>
      <c r="Z354" s="9">
        <f>VLOOKUP(M354,'Discount Rate'!A:B,2,FALSE)</f>
        <v>0.03</v>
      </c>
      <c r="AA354" s="11">
        <f t="shared" si="57"/>
        <v>40.335899999999995</v>
      </c>
      <c r="AB354" s="15">
        <f t="shared" si="58"/>
        <v>1210.077</v>
      </c>
      <c r="AC354" s="15">
        <f t="shared" si="59"/>
        <v>660.077</v>
      </c>
    </row>
    <row r="355" spans="1:29" x14ac:dyDescent="0.35">
      <c r="A355" t="s">
        <v>772</v>
      </c>
      <c r="B355" t="s">
        <v>773</v>
      </c>
      <c r="C355" t="s">
        <v>98</v>
      </c>
      <c r="D355" t="s">
        <v>99</v>
      </c>
      <c r="E355" s="1">
        <v>45083</v>
      </c>
      <c r="F355" s="24">
        <f t="shared" si="50"/>
        <v>2023</v>
      </c>
      <c r="G355" s="24" t="str">
        <f t="shared" si="51"/>
        <v>June</v>
      </c>
      <c r="H355" s="24" t="str">
        <f t="shared" si="52"/>
        <v>Tuesday</v>
      </c>
      <c r="I355" s="22">
        <v>0.8536111111111111</v>
      </c>
      <c r="J355" s="24">
        <f t="shared" si="53"/>
        <v>20</v>
      </c>
      <c r="K355" s="24">
        <f t="shared" si="54"/>
        <v>29</v>
      </c>
      <c r="L355" s="24">
        <f t="shared" si="55"/>
        <v>12</v>
      </c>
      <c r="M355" t="s">
        <v>33</v>
      </c>
      <c r="N355" t="s">
        <v>34</v>
      </c>
      <c r="O355" s="24">
        <v>8</v>
      </c>
      <c r="P355" s="11">
        <v>428.49</v>
      </c>
      <c r="Q355" s="26">
        <f>VLOOKUP('Prepared Sales Dataset'!M355,'Product-cost'!A:B,2,FALSE)</f>
        <v>200</v>
      </c>
      <c r="R355" t="s">
        <v>59</v>
      </c>
      <c r="S355" t="s">
        <v>216</v>
      </c>
      <c r="T355" t="s">
        <v>231</v>
      </c>
      <c r="U355" t="s">
        <v>922</v>
      </c>
      <c r="V355" s="17">
        <f>P355*O355</f>
        <v>3427.92</v>
      </c>
      <c r="W355" s="19">
        <f>O355*Q355</f>
        <v>1600</v>
      </c>
      <c r="X355" s="13">
        <f>VLOOKUP(R355,Taxrate!A:B,2,FALSE)</f>
        <v>0.12</v>
      </c>
      <c r="Y355" s="15">
        <f t="shared" si="56"/>
        <v>411.35039999999998</v>
      </c>
      <c r="Z355" s="9">
        <f>VLOOKUP(M355,'Discount Rate'!A:B,2,FALSE)</f>
        <v>0.08</v>
      </c>
      <c r="AA355" s="11">
        <f t="shared" si="57"/>
        <v>274.23360000000002</v>
      </c>
      <c r="AB355" s="15">
        <f t="shared" si="58"/>
        <v>2742.3360000000002</v>
      </c>
      <c r="AC355" s="15">
        <f t="shared" si="59"/>
        <v>1142.3360000000002</v>
      </c>
    </row>
    <row r="356" spans="1:29" x14ac:dyDescent="0.35">
      <c r="A356" t="s">
        <v>774</v>
      </c>
      <c r="B356" t="s">
        <v>207</v>
      </c>
      <c r="C356" t="s">
        <v>169</v>
      </c>
      <c r="D356" t="s">
        <v>170</v>
      </c>
      <c r="E356" s="1">
        <v>45868</v>
      </c>
      <c r="F356" s="24">
        <f t="shared" si="50"/>
        <v>2025</v>
      </c>
      <c r="G356" s="24" t="str">
        <f t="shared" si="51"/>
        <v>July</v>
      </c>
      <c r="H356" s="24" t="str">
        <f t="shared" si="52"/>
        <v>Wednesday</v>
      </c>
      <c r="I356" s="22">
        <v>0.34137731481481481</v>
      </c>
      <c r="J356" s="24">
        <f t="shared" si="53"/>
        <v>8</v>
      </c>
      <c r="K356" s="24">
        <f t="shared" si="54"/>
        <v>11</v>
      </c>
      <c r="L356" s="24">
        <f t="shared" si="55"/>
        <v>35</v>
      </c>
      <c r="M356" t="s">
        <v>33</v>
      </c>
      <c r="N356" t="s">
        <v>34</v>
      </c>
      <c r="O356" s="24">
        <v>3</v>
      </c>
      <c r="P356" s="11">
        <v>346.9</v>
      </c>
      <c r="Q356" s="26">
        <f>VLOOKUP('Prepared Sales Dataset'!M356,'Product-cost'!A:B,2,FALSE)</f>
        <v>200</v>
      </c>
      <c r="R356" t="s">
        <v>42</v>
      </c>
      <c r="S356" t="s">
        <v>171</v>
      </c>
      <c r="T356" t="s">
        <v>103</v>
      </c>
      <c r="U356" t="s">
        <v>921</v>
      </c>
      <c r="V356" s="17">
        <f>P356*O356</f>
        <v>1040.6999999999998</v>
      </c>
      <c r="W356" s="19">
        <f>O356*Q356</f>
        <v>600</v>
      </c>
      <c r="X356" s="13">
        <f>VLOOKUP(R356,Taxrate!A:B,2,FALSE)</f>
        <v>0.15</v>
      </c>
      <c r="Y356" s="15">
        <f t="shared" si="56"/>
        <v>156.10499999999996</v>
      </c>
      <c r="Z356" s="9">
        <f>VLOOKUP(M356,'Discount Rate'!A:B,2,FALSE)</f>
        <v>0.08</v>
      </c>
      <c r="AA356" s="11">
        <f t="shared" si="57"/>
        <v>83.255999999999986</v>
      </c>
      <c r="AB356" s="15">
        <f t="shared" si="58"/>
        <v>801.33899999999994</v>
      </c>
      <c r="AC356" s="15">
        <f t="shared" si="59"/>
        <v>201.33899999999994</v>
      </c>
    </row>
    <row r="357" spans="1:29" x14ac:dyDescent="0.35">
      <c r="A357" t="s">
        <v>775</v>
      </c>
      <c r="B357" t="s">
        <v>776</v>
      </c>
      <c r="C357" t="s">
        <v>205</v>
      </c>
      <c r="D357" t="s">
        <v>170</v>
      </c>
      <c r="E357" s="1">
        <v>46137</v>
      </c>
      <c r="F357" s="24">
        <f t="shared" si="50"/>
        <v>2026</v>
      </c>
      <c r="G357" s="24" t="str">
        <f t="shared" si="51"/>
        <v>April</v>
      </c>
      <c r="H357" s="24" t="str">
        <f t="shared" si="52"/>
        <v>Saturday</v>
      </c>
      <c r="I357" s="22">
        <v>0.73844907407407412</v>
      </c>
      <c r="J357" s="24">
        <f t="shared" si="53"/>
        <v>17</v>
      </c>
      <c r="K357" s="24">
        <f t="shared" si="54"/>
        <v>43</v>
      </c>
      <c r="L357" s="24">
        <f t="shared" si="55"/>
        <v>22</v>
      </c>
      <c r="M357" t="s">
        <v>33</v>
      </c>
      <c r="N357" t="s">
        <v>34</v>
      </c>
      <c r="O357" s="24">
        <v>1</v>
      </c>
      <c r="P357" s="11">
        <v>345.64</v>
      </c>
      <c r="Q357" s="26">
        <f>VLOOKUP('Prepared Sales Dataset'!M357,'Product-cost'!A:B,2,FALSE)</f>
        <v>200</v>
      </c>
      <c r="R357" t="s">
        <v>28</v>
      </c>
      <c r="S357" t="s">
        <v>171</v>
      </c>
      <c r="T357" t="s">
        <v>133</v>
      </c>
      <c r="U357" t="s">
        <v>921</v>
      </c>
      <c r="V357" s="17">
        <f>P357*O357</f>
        <v>345.64</v>
      </c>
      <c r="W357" s="19">
        <f>O357*Q357</f>
        <v>200</v>
      </c>
      <c r="X357" s="13">
        <f>VLOOKUP(R357,Taxrate!A:B,2,FALSE)</f>
        <v>0.1</v>
      </c>
      <c r="Y357" s="15">
        <f t="shared" si="56"/>
        <v>34.564</v>
      </c>
      <c r="Z357" s="9">
        <f>VLOOKUP(M357,'Discount Rate'!A:B,2,FALSE)</f>
        <v>0.08</v>
      </c>
      <c r="AA357" s="11">
        <f t="shared" si="57"/>
        <v>27.651199999999999</v>
      </c>
      <c r="AB357" s="15">
        <f t="shared" si="58"/>
        <v>283.4248</v>
      </c>
      <c r="AC357" s="15">
        <f t="shared" si="59"/>
        <v>83.424800000000005</v>
      </c>
    </row>
    <row r="358" spans="1:29" x14ac:dyDescent="0.35">
      <c r="A358" t="s">
        <v>778</v>
      </c>
      <c r="B358" t="s">
        <v>715</v>
      </c>
      <c r="C358" t="s">
        <v>40</v>
      </c>
      <c r="D358" t="s">
        <v>41</v>
      </c>
      <c r="E358" s="1">
        <v>46281</v>
      </c>
      <c r="F358" s="24">
        <f t="shared" si="50"/>
        <v>2026</v>
      </c>
      <c r="G358" s="24" t="str">
        <f t="shared" si="51"/>
        <v>September</v>
      </c>
      <c r="H358" s="24" t="str">
        <f t="shared" si="52"/>
        <v>Wednesday</v>
      </c>
      <c r="I358" s="22">
        <v>0.46922453703703704</v>
      </c>
      <c r="J358" s="24">
        <f t="shared" si="53"/>
        <v>11</v>
      </c>
      <c r="K358" s="24">
        <f t="shared" si="54"/>
        <v>15</v>
      </c>
      <c r="L358" s="24">
        <f t="shared" si="55"/>
        <v>41</v>
      </c>
      <c r="M358" t="s">
        <v>33</v>
      </c>
      <c r="N358" t="s">
        <v>34</v>
      </c>
      <c r="O358" s="24">
        <v>15</v>
      </c>
      <c r="P358" s="11">
        <v>493.79</v>
      </c>
      <c r="Q358" s="26">
        <f>VLOOKUP('Prepared Sales Dataset'!M358,'Product-cost'!A:B,2,FALSE)</f>
        <v>200</v>
      </c>
      <c r="R358" t="s">
        <v>55</v>
      </c>
      <c r="S358" t="s">
        <v>90</v>
      </c>
      <c r="T358" t="s">
        <v>95</v>
      </c>
      <c r="U358" t="s">
        <v>921</v>
      </c>
      <c r="V358" s="17">
        <f>P358*O358</f>
        <v>7406.85</v>
      </c>
      <c r="W358" s="19">
        <f>O358*Q358</f>
        <v>3000</v>
      </c>
      <c r="X358" s="13">
        <f>VLOOKUP(R358,Taxrate!A:B,2,FALSE)</f>
        <v>7.0000000000000007E-2</v>
      </c>
      <c r="Y358" s="15">
        <f t="shared" si="56"/>
        <v>518.47950000000003</v>
      </c>
      <c r="Z358" s="9">
        <f>VLOOKUP(M358,'Discount Rate'!A:B,2,FALSE)</f>
        <v>0.08</v>
      </c>
      <c r="AA358" s="11">
        <f t="shared" si="57"/>
        <v>592.548</v>
      </c>
      <c r="AB358" s="15">
        <f t="shared" si="58"/>
        <v>6295.8225000000002</v>
      </c>
      <c r="AC358" s="15">
        <f t="shared" si="59"/>
        <v>3295.8225000000002</v>
      </c>
    </row>
    <row r="359" spans="1:29" x14ac:dyDescent="0.35">
      <c r="A359" t="s">
        <v>779</v>
      </c>
      <c r="B359" t="s">
        <v>224</v>
      </c>
      <c r="C359" t="s">
        <v>205</v>
      </c>
      <c r="D359" t="s">
        <v>170</v>
      </c>
      <c r="E359" s="1">
        <v>46352</v>
      </c>
      <c r="F359" s="24">
        <f t="shared" si="50"/>
        <v>2026</v>
      </c>
      <c r="G359" s="24" t="str">
        <f t="shared" si="51"/>
        <v>November</v>
      </c>
      <c r="H359" s="24" t="str">
        <f t="shared" si="52"/>
        <v>Thursday</v>
      </c>
      <c r="I359" s="22">
        <v>0.70925925925925926</v>
      </c>
      <c r="J359" s="24">
        <f t="shared" si="53"/>
        <v>17</v>
      </c>
      <c r="K359" s="24">
        <f t="shared" si="54"/>
        <v>1</v>
      </c>
      <c r="L359" s="24">
        <f t="shared" si="55"/>
        <v>20</v>
      </c>
      <c r="M359" t="s">
        <v>78</v>
      </c>
      <c r="N359" t="s">
        <v>79</v>
      </c>
      <c r="O359" s="24">
        <v>6</v>
      </c>
      <c r="P359" s="11">
        <v>180.62</v>
      </c>
      <c r="Q359" s="26">
        <f>VLOOKUP('Prepared Sales Dataset'!M359,'Product-cost'!A:B,2,FALSE)</f>
        <v>50</v>
      </c>
      <c r="R359" t="s">
        <v>55</v>
      </c>
      <c r="S359" t="s">
        <v>272</v>
      </c>
      <c r="T359" t="s">
        <v>133</v>
      </c>
      <c r="U359" t="s">
        <v>921</v>
      </c>
      <c r="V359" s="17">
        <f>P359*O359</f>
        <v>1083.72</v>
      </c>
      <c r="W359" s="19">
        <f>O359*Q359</f>
        <v>300</v>
      </c>
      <c r="X359" s="13">
        <f>VLOOKUP(R359,Taxrate!A:B,2,FALSE)</f>
        <v>7.0000000000000007E-2</v>
      </c>
      <c r="Y359" s="15">
        <f t="shared" si="56"/>
        <v>75.860400000000013</v>
      </c>
      <c r="Z359" s="9">
        <f>VLOOKUP(M359,'Discount Rate'!A:B,2,FALSE)</f>
        <v>0.03</v>
      </c>
      <c r="AA359" s="11">
        <f t="shared" si="57"/>
        <v>32.511600000000001</v>
      </c>
      <c r="AB359" s="15">
        <f t="shared" si="58"/>
        <v>975.34799999999996</v>
      </c>
      <c r="AC359" s="15">
        <f t="shared" si="59"/>
        <v>675.34799999999996</v>
      </c>
    </row>
    <row r="360" spans="1:29" x14ac:dyDescent="0.35">
      <c r="A360" t="s">
        <v>780</v>
      </c>
      <c r="B360" t="s">
        <v>781</v>
      </c>
      <c r="C360" t="s">
        <v>77</v>
      </c>
      <c r="D360" t="s">
        <v>63</v>
      </c>
      <c r="E360" s="1">
        <v>46024</v>
      </c>
      <c r="F360" s="24">
        <f t="shared" si="50"/>
        <v>2026</v>
      </c>
      <c r="G360" s="24" t="str">
        <f t="shared" si="51"/>
        <v>January</v>
      </c>
      <c r="H360" s="24" t="str">
        <f t="shared" si="52"/>
        <v>Friday</v>
      </c>
      <c r="I360" s="22">
        <v>0.5111458333333333</v>
      </c>
      <c r="J360" s="24">
        <f t="shared" si="53"/>
        <v>12</v>
      </c>
      <c r="K360" s="24">
        <f t="shared" si="54"/>
        <v>16</v>
      </c>
      <c r="L360" s="24">
        <f t="shared" si="55"/>
        <v>3</v>
      </c>
      <c r="M360" t="s">
        <v>33</v>
      </c>
      <c r="N360" t="s">
        <v>34</v>
      </c>
      <c r="O360" s="24">
        <v>7</v>
      </c>
      <c r="P360" s="11">
        <v>444.91</v>
      </c>
      <c r="Q360" s="26">
        <f>VLOOKUP('Prepared Sales Dataset'!M360,'Product-cost'!A:B,2,FALSE)</f>
        <v>200</v>
      </c>
      <c r="R360" t="s">
        <v>55</v>
      </c>
      <c r="S360" t="s">
        <v>80</v>
      </c>
      <c r="U360" t="s">
        <v>923</v>
      </c>
      <c r="V360" s="17">
        <f>P360*O360</f>
        <v>3114.3700000000003</v>
      </c>
      <c r="W360" s="19">
        <f>O360*Q360</f>
        <v>1400</v>
      </c>
      <c r="X360" s="13">
        <f>VLOOKUP(R360,Taxrate!A:B,2,FALSE)</f>
        <v>7.0000000000000007E-2</v>
      </c>
      <c r="Y360" s="15">
        <f t="shared" si="56"/>
        <v>218.00590000000005</v>
      </c>
      <c r="Z360" s="9">
        <f>VLOOKUP(M360,'Discount Rate'!A:B,2,FALSE)</f>
        <v>0.08</v>
      </c>
      <c r="AA360" s="11">
        <f t="shared" si="57"/>
        <v>249.14960000000002</v>
      </c>
      <c r="AB360" s="15">
        <f t="shared" si="58"/>
        <v>2647.2145</v>
      </c>
      <c r="AC360" s="15">
        <f t="shared" si="59"/>
        <v>1247.2145</v>
      </c>
    </row>
    <row r="361" spans="1:29" x14ac:dyDescent="0.35">
      <c r="A361" t="s">
        <v>782</v>
      </c>
      <c r="B361" t="s">
        <v>783</v>
      </c>
      <c r="C361" t="s">
        <v>40</v>
      </c>
      <c r="D361" t="s">
        <v>41</v>
      </c>
      <c r="E361" s="1">
        <v>46261</v>
      </c>
      <c r="F361" s="24">
        <f t="shared" si="50"/>
        <v>2026</v>
      </c>
      <c r="G361" s="24" t="str">
        <f t="shared" si="51"/>
        <v>August</v>
      </c>
      <c r="H361" s="24" t="str">
        <f t="shared" si="52"/>
        <v>Thursday</v>
      </c>
      <c r="I361" s="22">
        <v>0.70230324074074069</v>
      </c>
      <c r="J361" s="24">
        <f t="shared" si="53"/>
        <v>16</v>
      </c>
      <c r="K361" s="24">
        <f t="shared" si="54"/>
        <v>51</v>
      </c>
      <c r="L361" s="24">
        <f t="shared" si="55"/>
        <v>19</v>
      </c>
      <c r="M361" t="s">
        <v>78</v>
      </c>
      <c r="N361" t="s">
        <v>79</v>
      </c>
      <c r="O361" s="24">
        <v>6</v>
      </c>
      <c r="P361" s="11">
        <v>150.16999999999999</v>
      </c>
      <c r="Q361" s="26">
        <f>VLOOKUP('Prepared Sales Dataset'!M361,'Product-cost'!A:B,2,FALSE)</f>
        <v>50</v>
      </c>
      <c r="R361" t="s">
        <v>59</v>
      </c>
      <c r="S361" t="s">
        <v>90</v>
      </c>
      <c r="T361" t="s">
        <v>21</v>
      </c>
      <c r="U361" t="s">
        <v>921</v>
      </c>
      <c r="V361" s="17">
        <f>P361*O361</f>
        <v>901.02</v>
      </c>
      <c r="W361" s="19">
        <f>O361*Q361</f>
        <v>300</v>
      </c>
      <c r="X361" s="13">
        <f>VLOOKUP(R361,Taxrate!A:B,2,FALSE)</f>
        <v>0.12</v>
      </c>
      <c r="Y361" s="15">
        <f t="shared" si="56"/>
        <v>108.1224</v>
      </c>
      <c r="Z361" s="9">
        <f>VLOOKUP(M361,'Discount Rate'!A:B,2,FALSE)</f>
        <v>0.03</v>
      </c>
      <c r="AA361" s="11">
        <f t="shared" si="57"/>
        <v>27.0306</v>
      </c>
      <c r="AB361" s="15">
        <f t="shared" si="58"/>
        <v>765.86699999999996</v>
      </c>
      <c r="AC361" s="15">
        <f t="shared" si="59"/>
        <v>465.86699999999996</v>
      </c>
    </row>
    <row r="362" spans="1:29" x14ac:dyDescent="0.35">
      <c r="A362" t="s">
        <v>784</v>
      </c>
      <c r="B362" t="s">
        <v>785</v>
      </c>
      <c r="C362" t="s">
        <v>195</v>
      </c>
      <c r="D362" t="s">
        <v>63</v>
      </c>
      <c r="E362" s="1">
        <v>45475</v>
      </c>
      <c r="F362" s="24">
        <f t="shared" si="50"/>
        <v>2024</v>
      </c>
      <c r="G362" s="24" t="str">
        <f t="shared" si="51"/>
        <v>July</v>
      </c>
      <c r="H362" s="24" t="str">
        <f t="shared" si="52"/>
        <v>Tuesday</v>
      </c>
      <c r="I362" s="22">
        <v>0.7407407407407407</v>
      </c>
      <c r="J362" s="24">
        <f t="shared" si="53"/>
        <v>17</v>
      </c>
      <c r="K362" s="24">
        <f t="shared" si="54"/>
        <v>46</v>
      </c>
      <c r="L362" s="24">
        <f t="shared" si="55"/>
        <v>40</v>
      </c>
      <c r="M362" t="s">
        <v>17</v>
      </c>
      <c r="N362" t="s">
        <v>18</v>
      </c>
      <c r="O362" s="24">
        <v>6</v>
      </c>
      <c r="P362" s="11">
        <v>920.19</v>
      </c>
      <c r="Q362" s="26">
        <f>VLOOKUP('Prepared Sales Dataset'!M362,'Product-cost'!A:B,2,FALSE)</f>
        <v>600</v>
      </c>
      <c r="R362" t="s">
        <v>28</v>
      </c>
      <c r="S362" t="s">
        <v>241</v>
      </c>
      <c r="T362" t="s">
        <v>249</v>
      </c>
      <c r="U362" t="s">
        <v>921</v>
      </c>
      <c r="V362" s="17">
        <f>P362*O362</f>
        <v>5521.14</v>
      </c>
      <c r="W362" s="19">
        <f>O362*Q362</f>
        <v>3600</v>
      </c>
      <c r="X362" s="13">
        <f>VLOOKUP(R362,Taxrate!A:B,2,FALSE)</f>
        <v>0.1</v>
      </c>
      <c r="Y362" s="15">
        <f t="shared" si="56"/>
        <v>552.11400000000003</v>
      </c>
      <c r="Z362" s="9">
        <f>VLOOKUP(M362,'Discount Rate'!A:B,2,FALSE)</f>
        <v>0.05</v>
      </c>
      <c r="AA362" s="11">
        <f t="shared" si="57"/>
        <v>276.05700000000002</v>
      </c>
      <c r="AB362" s="15">
        <f t="shared" si="58"/>
        <v>4692.9690000000001</v>
      </c>
      <c r="AC362" s="15">
        <f t="shared" si="59"/>
        <v>1092.9690000000001</v>
      </c>
    </row>
    <row r="363" spans="1:29" x14ac:dyDescent="0.35">
      <c r="A363" t="s">
        <v>786</v>
      </c>
      <c r="B363" t="s">
        <v>209</v>
      </c>
      <c r="C363" t="s">
        <v>62</v>
      </c>
      <c r="D363" t="s">
        <v>63</v>
      </c>
      <c r="E363" s="1">
        <v>46333</v>
      </c>
      <c r="F363" s="24">
        <f t="shared" si="50"/>
        <v>2026</v>
      </c>
      <c r="G363" s="24" t="str">
        <f t="shared" si="51"/>
        <v>November</v>
      </c>
      <c r="H363" s="24" t="str">
        <f t="shared" si="52"/>
        <v>Saturday</v>
      </c>
      <c r="I363" s="22">
        <v>0.59383101851851849</v>
      </c>
      <c r="J363" s="24">
        <f t="shared" si="53"/>
        <v>14</v>
      </c>
      <c r="K363" s="24">
        <f t="shared" si="54"/>
        <v>15</v>
      </c>
      <c r="L363" s="24">
        <f t="shared" si="55"/>
        <v>7</v>
      </c>
      <c r="M363" t="s">
        <v>26</v>
      </c>
      <c r="N363" t="s">
        <v>27</v>
      </c>
      <c r="O363" s="24">
        <v>4</v>
      </c>
      <c r="P363" s="11">
        <v>573.16</v>
      </c>
      <c r="Q363" s="26">
        <f>VLOOKUP('Prepared Sales Dataset'!M363,'Product-cost'!A:B,2,FALSE)</f>
        <v>300</v>
      </c>
      <c r="R363" t="s">
        <v>42</v>
      </c>
      <c r="S363" t="s">
        <v>80</v>
      </c>
      <c r="T363" t="s">
        <v>166</v>
      </c>
      <c r="U363" t="s">
        <v>921</v>
      </c>
      <c r="V363" s="17">
        <f>P363*O363</f>
        <v>2292.64</v>
      </c>
      <c r="W363" s="19">
        <f>O363*Q363</f>
        <v>1200</v>
      </c>
      <c r="X363" s="13">
        <f>VLOOKUP(R363,Taxrate!A:B,2,FALSE)</f>
        <v>0.15</v>
      </c>
      <c r="Y363" s="15">
        <f t="shared" si="56"/>
        <v>343.89599999999996</v>
      </c>
      <c r="Z363" s="9">
        <f>VLOOKUP(M363,'Discount Rate'!A:B,2,FALSE)</f>
        <v>0.1</v>
      </c>
      <c r="AA363" s="11">
        <f t="shared" si="57"/>
        <v>229.26400000000001</v>
      </c>
      <c r="AB363" s="15">
        <f t="shared" si="58"/>
        <v>1719.48</v>
      </c>
      <c r="AC363" s="15">
        <f t="shared" si="59"/>
        <v>519.48</v>
      </c>
    </row>
    <row r="364" spans="1:29" x14ac:dyDescent="0.35">
      <c r="A364" t="s">
        <v>787</v>
      </c>
      <c r="B364" t="s">
        <v>627</v>
      </c>
      <c r="C364" t="s">
        <v>205</v>
      </c>
      <c r="D364" t="s">
        <v>170</v>
      </c>
      <c r="E364" s="1">
        <v>46246</v>
      </c>
      <c r="F364" s="24">
        <f t="shared" si="50"/>
        <v>2026</v>
      </c>
      <c r="G364" s="24" t="str">
        <f t="shared" si="51"/>
        <v>August</v>
      </c>
      <c r="H364" s="24" t="str">
        <f t="shared" si="52"/>
        <v>Wednesday</v>
      </c>
      <c r="I364" s="22">
        <v>0.81377314814814816</v>
      </c>
      <c r="J364" s="24">
        <f t="shared" si="53"/>
        <v>19</v>
      </c>
      <c r="K364" s="24">
        <f t="shared" si="54"/>
        <v>31</v>
      </c>
      <c r="L364" s="24">
        <f t="shared" si="55"/>
        <v>50</v>
      </c>
      <c r="M364" t="s">
        <v>17</v>
      </c>
      <c r="N364" t="s">
        <v>18</v>
      </c>
      <c r="O364" s="24">
        <v>8</v>
      </c>
      <c r="P364" s="11">
        <v>956.95</v>
      </c>
      <c r="Q364" s="26">
        <f>VLOOKUP('Prepared Sales Dataset'!M364,'Product-cost'!A:B,2,FALSE)</f>
        <v>600</v>
      </c>
      <c r="R364" t="s">
        <v>28</v>
      </c>
      <c r="S364" t="s">
        <v>272</v>
      </c>
      <c r="T364" t="s">
        <v>30</v>
      </c>
      <c r="U364" t="s">
        <v>921</v>
      </c>
      <c r="V364" s="17">
        <f>P364*O364</f>
        <v>7655.6</v>
      </c>
      <c r="W364" s="19">
        <f>O364*Q364</f>
        <v>4800</v>
      </c>
      <c r="X364" s="13">
        <f>VLOOKUP(R364,Taxrate!A:B,2,FALSE)</f>
        <v>0.1</v>
      </c>
      <c r="Y364" s="15">
        <f t="shared" si="56"/>
        <v>765.56000000000006</v>
      </c>
      <c r="Z364" s="9">
        <f>VLOOKUP(M364,'Discount Rate'!A:B,2,FALSE)</f>
        <v>0.05</v>
      </c>
      <c r="AA364" s="11">
        <f t="shared" si="57"/>
        <v>382.78000000000003</v>
      </c>
      <c r="AB364" s="15">
        <f t="shared" si="58"/>
        <v>6507.26</v>
      </c>
      <c r="AC364" s="15">
        <f t="shared" si="59"/>
        <v>1707.2600000000002</v>
      </c>
    </row>
    <row r="365" spans="1:29" x14ac:dyDescent="0.35">
      <c r="A365" t="s">
        <v>788</v>
      </c>
      <c r="B365" t="s">
        <v>789</v>
      </c>
      <c r="C365" t="s">
        <v>139</v>
      </c>
      <c r="D365" t="s">
        <v>25</v>
      </c>
      <c r="E365" s="1">
        <v>45156</v>
      </c>
      <c r="F365" s="24">
        <f t="shared" si="50"/>
        <v>2023</v>
      </c>
      <c r="G365" s="24" t="str">
        <f t="shared" si="51"/>
        <v>August</v>
      </c>
      <c r="H365" s="24" t="str">
        <f t="shared" si="52"/>
        <v>Friday</v>
      </c>
      <c r="I365" s="22">
        <v>0.69644675925925925</v>
      </c>
      <c r="J365" s="24">
        <f t="shared" si="53"/>
        <v>16</v>
      </c>
      <c r="K365" s="24">
        <f t="shared" si="54"/>
        <v>42</v>
      </c>
      <c r="L365" s="24">
        <f t="shared" si="55"/>
        <v>53</v>
      </c>
      <c r="M365" t="s">
        <v>49</v>
      </c>
      <c r="N365" t="s">
        <v>50</v>
      </c>
      <c r="O365" s="24">
        <v>15</v>
      </c>
      <c r="P365" s="11">
        <v>230.61</v>
      </c>
      <c r="Q365" s="26">
        <f>VLOOKUP('Prepared Sales Dataset'!M365,'Product-cost'!A:B,2,FALSE)</f>
        <v>150</v>
      </c>
      <c r="R365" t="s">
        <v>55</v>
      </c>
      <c r="S365" t="s">
        <v>56</v>
      </c>
      <c r="T365" t="s">
        <v>133</v>
      </c>
      <c r="U365" t="s">
        <v>921</v>
      </c>
      <c r="V365" s="17">
        <f>P365*O365</f>
        <v>3459.15</v>
      </c>
      <c r="W365" s="19">
        <f>O365*Q365</f>
        <v>2250</v>
      </c>
      <c r="X365" s="13">
        <f>VLOOKUP(R365,Taxrate!A:B,2,FALSE)</f>
        <v>7.0000000000000007E-2</v>
      </c>
      <c r="Y365" s="15">
        <f t="shared" si="56"/>
        <v>242.14050000000003</v>
      </c>
      <c r="Z365" s="9">
        <f>VLOOKUP(M365,'Discount Rate'!A:B,2,FALSE)</f>
        <v>7.0000000000000007E-2</v>
      </c>
      <c r="AA365" s="11">
        <f t="shared" si="57"/>
        <v>242.14050000000003</v>
      </c>
      <c r="AB365" s="15">
        <f t="shared" si="58"/>
        <v>2974.8690000000001</v>
      </c>
      <c r="AC365" s="15">
        <f t="shared" si="59"/>
        <v>724.86900000000014</v>
      </c>
    </row>
    <row r="366" spans="1:29" x14ac:dyDescent="0.35">
      <c r="A366" t="s">
        <v>790</v>
      </c>
      <c r="B366" t="s">
        <v>791</v>
      </c>
      <c r="C366" t="s">
        <v>24</v>
      </c>
      <c r="D366" t="s">
        <v>25</v>
      </c>
      <c r="E366" s="1">
        <v>45373</v>
      </c>
      <c r="F366" s="24">
        <f t="shared" si="50"/>
        <v>2024</v>
      </c>
      <c r="G366" s="24" t="str">
        <f t="shared" si="51"/>
        <v>March</v>
      </c>
      <c r="H366" s="24" t="str">
        <f t="shared" si="52"/>
        <v>Friday</v>
      </c>
      <c r="I366" s="22">
        <v>0.38278935185185187</v>
      </c>
      <c r="J366" s="24">
        <f t="shared" si="53"/>
        <v>9</v>
      </c>
      <c r="K366" s="24">
        <f t="shared" si="54"/>
        <v>11</v>
      </c>
      <c r="L366" s="24">
        <f t="shared" si="55"/>
        <v>13</v>
      </c>
      <c r="M366" t="s">
        <v>33</v>
      </c>
      <c r="N366" t="s">
        <v>34</v>
      </c>
      <c r="O366" s="24">
        <v>5</v>
      </c>
      <c r="P366" s="11">
        <v>331.19</v>
      </c>
      <c r="Q366" s="26">
        <f>VLOOKUP('Prepared Sales Dataset'!M366,'Product-cost'!A:B,2,FALSE)</f>
        <v>200</v>
      </c>
      <c r="R366" t="s">
        <v>59</v>
      </c>
      <c r="S366" t="s">
        <v>29</v>
      </c>
      <c r="T366" t="s">
        <v>231</v>
      </c>
      <c r="U366" t="s">
        <v>922</v>
      </c>
      <c r="V366" s="17">
        <f>P366*O366</f>
        <v>1655.95</v>
      </c>
      <c r="W366" s="19">
        <f>O366*Q366</f>
        <v>1000</v>
      </c>
      <c r="X366" s="13">
        <f>VLOOKUP(R366,Taxrate!A:B,2,FALSE)</f>
        <v>0.12</v>
      </c>
      <c r="Y366" s="15">
        <f t="shared" si="56"/>
        <v>198.714</v>
      </c>
      <c r="Z366" s="9">
        <f>VLOOKUP(M366,'Discount Rate'!A:B,2,FALSE)</f>
        <v>0.08</v>
      </c>
      <c r="AA366" s="11">
        <f t="shared" si="57"/>
        <v>132.476</v>
      </c>
      <c r="AB366" s="15">
        <f t="shared" si="58"/>
        <v>1324.76</v>
      </c>
      <c r="AC366" s="15">
        <f t="shared" si="59"/>
        <v>324.76</v>
      </c>
    </row>
    <row r="367" spans="1:29" x14ac:dyDescent="0.35">
      <c r="A367" t="s">
        <v>792</v>
      </c>
      <c r="B367" t="s">
        <v>512</v>
      </c>
      <c r="C367" t="s">
        <v>139</v>
      </c>
      <c r="D367" t="s">
        <v>25</v>
      </c>
      <c r="E367" s="1">
        <v>45900</v>
      </c>
      <c r="F367" s="24">
        <f t="shared" si="50"/>
        <v>2025</v>
      </c>
      <c r="G367" s="24" t="str">
        <f t="shared" si="51"/>
        <v>August</v>
      </c>
      <c r="H367" s="24" t="str">
        <f t="shared" si="52"/>
        <v>Sunday</v>
      </c>
      <c r="I367" s="22">
        <v>0.88820601851851855</v>
      </c>
      <c r="J367" s="24">
        <f t="shared" si="53"/>
        <v>21</v>
      </c>
      <c r="K367" s="24">
        <f t="shared" si="54"/>
        <v>19</v>
      </c>
      <c r="L367" s="24">
        <f t="shared" si="55"/>
        <v>1</v>
      </c>
      <c r="M367" t="s">
        <v>49</v>
      </c>
      <c r="N367" t="s">
        <v>50</v>
      </c>
      <c r="O367" s="24">
        <v>8</v>
      </c>
      <c r="P367" s="11">
        <v>263.88</v>
      </c>
      <c r="Q367" s="26">
        <f>VLOOKUP('Prepared Sales Dataset'!M367,'Product-cost'!A:B,2,FALSE)</f>
        <v>150</v>
      </c>
      <c r="R367" t="s">
        <v>55</v>
      </c>
      <c r="S367" t="s">
        <v>155</v>
      </c>
      <c r="T367" t="s">
        <v>142</v>
      </c>
      <c r="U367" t="s">
        <v>921</v>
      </c>
      <c r="V367" s="17">
        <f>P367*O367</f>
        <v>2111.04</v>
      </c>
      <c r="W367" s="19">
        <f>O367*Q367</f>
        <v>1200</v>
      </c>
      <c r="X367" s="13">
        <f>VLOOKUP(R367,Taxrate!A:B,2,FALSE)</f>
        <v>7.0000000000000007E-2</v>
      </c>
      <c r="Y367" s="15">
        <f t="shared" si="56"/>
        <v>147.77280000000002</v>
      </c>
      <c r="Z367" s="9">
        <f>VLOOKUP(M367,'Discount Rate'!A:B,2,FALSE)</f>
        <v>7.0000000000000007E-2</v>
      </c>
      <c r="AA367" s="11">
        <f t="shared" si="57"/>
        <v>147.77280000000002</v>
      </c>
      <c r="AB367" s="15">
        <f t="shared" si="58"/>
        <v>1815.4944</v>
      </c>
      <c r="AC367" s="15">
        <f t="shared" si="59"/>
        <v>615.49440000000004</v>
      </c>
    </row>
    <row r="368" spans="1:29" x14ac:dyDescent="0.35">
      <c r="A368" t="s">
        <v>793</v>
      </c>
      <c r="B368" t="s">
        <v>794</v>
      </c>
      <c r="C368" t="s">
        <v>15</v>
      </c>
      <c r="D368" t="s">
        <v>16</v>
      </c>
      <c r="E368" s="1">
        <v>45833</v>
      </c>
      <c r="F368" s="24">
        <f t="shared" si="50"/>
        <v>2025</v>
      </c>
      <c r="G368" s="24" t="str">
        <f t="shared" si="51"/>
        <v>June</v>
      </c>
      <c r="H368" s="24" t="str">
        <f t="shared" si="52"/>
        <v>Wednesday</v>
      </c>
      <c r="I368" s="22">
        <v>0.37390046296296298</v>
      </c>
      <c r="J368" s="24">
        <f t="shared" si="53"/>
        <v>8</v>
      </c>
      <c r="K368" s="24">
        <f t="shared" si="54"/>
        <v>58</v>
      </c>
      <c r="L368" s="24">
        <f t="shared" si="55"/>
        <v>25</v>
      </c>
      <c r="M368" t="s">
        <v>33</v>
      </c>
      <c r="N368" t="s">
        <v>34</v>
      </c>
      <c r="O368" s="24">
        <v>15</v>
      </c>
      <c r="P368" s="11">
        <v>367.09</v>
      </c>
      <c r="Q368" s="26">
        <f>VLOOKUP('Prepared Sales Dataset'!M368,'Product-cost'!A:B,2,FALSE)</f>
        <v>200</v>
      </c>
      <c r="R368" t="s">
        <v>35</v>
      </c>
      <c r="S368" t="s">
        <v>20</v>
      </c>
      <c r="T368" t="s">
        <v>133</v>
      </c>
      <c r="U368" t="s">
        <v>921</v>
      </c>
      <c r="V368" s="17">
        <f>P368*O368</f>
        <v>5506.3499999999995</v>
      </c>
      <c r="W368" s="19">
        <f>O368*Q368</f>
        <v>3000</v>
      </c>
      <c r="X368" s="13">
        <f>VLOOKUP(R368,Taxrate!A:B,2,FALSE)</f>
        <v>0.2</v>
      </c>
      <c r="Y368" s="15">
        <f t="shared" si="56"/>
        <v>1101.27</v>
      </c>
      <c r="Z368" s="9">
        <f>VLOOKUP(M368,'Discount Rate'!A:B,2,FALSE)</f>
        <v>0.08</v>
      </c>
      <c r="AA368" s="11">
        <f t="shared" si="57"/>
        <v>440.50799999999998</v>
      </c>
      <c r="AB368" s="15">
        <f t="shared" si="58"/>
        <v>3964.5719999999992</v>
      </c>
      <c r="AC368" s="15">
        <f t="shared" si="59"/>
        <v>964.57199999999921</v>
      </c>
    </row>
    <row r="369" spans="1:29" x14ac:dyDescent="0.35">
      <c r="A369" t="s">
        <v>795</v>
      </c>
      <c r="B369" t="s">
        <v>796</v>
      </c>
      <c r="C369" t="s">
        <v>205</v>
      </c>
      <c r="D369" t="s">
        <v>170</v>
      </c>
      <c r="E369" s="1">
        <v>45933</v>
      </c>
      <c r="F369" s="24">
        <f t="shared" si="50"/>
        <v>2025</v>
      </c>
      <c r="G369" s="24" t="str">
        <f t="shared" si="51"/>
        <v>October</v>
      </c>
      <c r="H369" s="24" t="str">
        <f t="shared" si="52"/>
        <v>Friday</v>
      </c>
      <c r="I369" s="22">
        <v>0.81040509259259264</v>
      </c>
      <c r="J369" s="24">
        <f t="shared" si="53"/>
        <v>19</v>
      </c>
      <c r="K369" s="24">
        <f t="shared" si="54"/>
        <v>26</v>
      </c>
      <c r="L369" s="24">
        <f t="shared" si="55"/>
        <v>59</v>
      </c>
      <c r="M369" t="s">
        <v>33</v>
      </c>
      <c r="N369" t="s">
        <v>34</v>
      </c>
      <c r="O369" s="24">
        <v>15</v>
      </c>
      <c r="P369" s="11">
        <v>340.08</v>
      </c>
      <c r="Q369" s="26">
        <f>VLOOKUP('Prepared Sales Dataset'!M369,'Product-cost'!A:B,2,FALSE)</f>
        <v>200</v>
      </c>
      <c r="R369" t="s">
        <v>35</v>
      </c>
      <c r="S369" t="s">
        <v>272</v>
      </c>
      <c r="T369" t="s">
        <v>133</v>
      </c>
      <c r="U369" t="s">
        <v>921</v>
      </c>
      <c r="V369" s="17">
        <f>P369*O369</f>
        <v>5101.2</v>
      </c>
      <c r="W369" s="19">
        <f>O369*Q369</f>
        <v>3000</v>
      </c>
      <c r="X369" s="13">
        <f>VLOOKUP(R369,Taxrate!A:B,2,FALSE)</f>
        <v>0.2</v>
      </c>
      <c r="Y369" s="15">
        <f t="shared" si="56"/>
        <v>1020.24</v>
      </c>
      <c r="Z369" s="9">
        <f>VLOOKUP(M369,'Discount Rate'!A:B,2,FALSE)</f>
        <v>0.08</v>
      </c>
      <c r="AA369" s="11">
        <f t="shared" si="57"/>
        <v>408.096</v>
      </c>
      <c r="AB369" s="15">
        <f t="shared" si="58"/>
        <v>3672.8639999999996</v>
      </c>
      <c r="AC369" s="15">
        <f t="shared" si="59"/>
        <v>672.86399999999958</v>
      </c>
    </row>
    <row r="370" spans="1:29" x14ac:dyDescent="0.35">
      <c r="A370" t="s">
        <v>797</v>
      </c>
      <c r="B370" t="s">
        <v>293</v>
      </c>
      <c r="C370" t="s">
        <v>62</v>
      </c>
      <c r="D370" t="s">
        <v>63</v>
      </c>
      <c r="E370" s="1">
        <v>45835</v>
      </c>
      <c r="F370" s="24">
        <f t="shared" si="50"/>
        <v>2025</v>
      </c>
      <c r="G370" s="24" t="str">
        <f t="shared" si="51"/>
        <v>June</v>
      </c>
      <c r="H370" s="24" t="str">
        <f t="shared" si="52"/>
        <v>Friday</v>
      </c>
      <c r="I370" s="22">
        <v>0.35083333333333333</v>
      </c>
      <c r="J370" s="24">
        <f t="shared" si="53"/>
        <v>8</v>
      </c>
      <c r="K370" s="24">
        <f t="shared" si="54"/>
        <v>25</v>
      </c>
      <c r="L370" s="24">
        <f t="shared" si="55"/>
        <v>12</v>
      </c>
      <c r="M370" t="s">
        <v>33</v>
      </c>
      <c r="N370" t="s">
        <v>34</v>
      </c>
      <c r="O370" s="24">
        <v>2</v>
      </c>
      <c r="P370" s="11">
        <v>506</v>
      </c>
      <c r="Q370" s="26">
        <f>VLOOKUP('Prepared Sales Dataset'!M370,'Product-cost'!A:B,2,FALSE)</f>
        <v>200</v>
      </c>
      <c r="R370" t="s">
        <v>35</v>
      </c>
      <c r="S370" t="s">
        <v>64</v>
      </c>
      <c r="T370" t="s">
        <v>109</v>
      </c>
      <c r="U370" t="s">
        <v>923</v>
      </c>
      <c r="V370" s="17">
        <f>P370*O370</f>
        <v>1012</v>
      </c>
      <c r="W370" s="19">
        <f>O370*Q370</f>
        <v>400</v>
      </c>
      <c r="X370" s="13">
        <f>VLOOKUP(R370,Taxrate!A:B,2,FALSE)</f>
        <v>0.2</v>
      </c>
      <c r="Y370" s="15">
        <f t="shared" si="56"/>
        <v>202.4</v>
      </c>
      <c r="Z370" s="9">
        <f>VLOOKUP(M370,'Discount Rate'!A:B,2,FALSE)</f>
        <v>0.08</v>
      </c>
      <c r="AA370" s="11">
        <f t="shared" si="57"/>
        <v>80.960000000000008</v>
      </c>
      <c r="AB370" s="15">
        <f t="shared" si="58"/>
        <v>728.64</v>
      </c>
      <c r="AC370" s="15">
        <f t="shared" si="59"/>
        <v>328.64</v>
      </c>
    </row>
    <row r="371" spans="1:29" x14ac:dyDescent="0.35">
      <c r="A371" t="s">
        <v>798</v>
      </c>
      <c r="B371" t="s">
        <v>799</v>
      </c>
      <c r="C371" t="s">
        <v>150</v>
      </c>
      <c r="D371" t="s">
        <v>25</v>
      </c>
      <c r="E371" s="1">
        <v>45200</v>
      </c>
      <c r="F371" s="24">
        <f t="shared" si="50"/>
        <v>2023</v>
      </c>
      <c r="G371" s="24" t="str">
        <f t="shared" si="51"/>
        <v>October</v>
      </c>
      <c r="H371" s="24" t="str">
        <f t="shared" si="52"/>
        <v>Sunday</v>
      </c>
      <c r="I371" s="22">
        <v>0.44695601851851852</v>
      </c>
      <c r="J371" s="24">
        <f t="shared" si="53"/>
        <v>10</v>
      </c>
      <c r="K371" s="24">
        <f t="shared" si="54"/>
        <v>43</v>
      </c>
      <c r="L371" s="24">
        <f t="shared" si="55"/>
        <v>37</v>
      </c>
      <c r="M371" t="s">
        <v>33</v>
      </c>
      <c r="N371" t="s">
        <v>34</v>
      </c>
      <c r="O371" s="24">
        <v>4</v>
      </c>
      <c r="P371" s="11">
        <v>506</v>
      </c>
      <c r="Q371" s="26">
        <f>VLOOKUP('Prepared Sales Dataset'!M371,'Product-cost'!A:B,2,FALSE)</f>
        <v>200</v>
      </c>
      <c r="R371" t="s">
        <v>28</v>
      </c>
      <c r="S371" t="s">
        <v>29</v>
      </c>
      <c r="U371" t="s">
        <v>923</v>
      </c>
      <c r="V371" s="17">
        <f>P371*O371</f>
        <v>2024</v>
      </c>
      <c r="W371" s="19">
        <f>O371*Q371</f>
        <v>800</v>
      </c>
      <c r="X371" s="13">
        <f>VLOOKUP(R371,Taxrate!A:B,2,FALSE)</f>
        <v>0.1</v>
      </c>
      <c r="Y371" s="15">
        <f t="shared" si="56"/>
        <v>202.4</v>
      </c>
      <c r="Z371" s="9">
        <f>VLOOKUP(M371,'Discount Rate'!A:B,2,FALSE)</f>
        <v>0.08</v>
      </c>
      <c r="AA371" s="11">
        <f t="shared" si="57"/>
        <v>161.92000000000002</v>
      </c>
      <c r="AB371" s="15">
        <f t="shared" si="58"/>
        <v>1659.6799999999998</v>
      </c>
      <c r="AC371" s="15">
        <f t="shared" si="59"/>
        <v>859.67999999999984</v>
      </c>
    </row>
    <row r="372" spans="1:29" x14ac:dyDescent="0.35">
      <c r="A372" t="s">
        <v>800</v>
      </c>
      <c r="B372" t="s">
        <v>724</v>
      </c>
      <c r="C372" t="s">
        <v>24</v>
      </c>
      <c r="D372" t="s">
        <v>25</v>
      </c>
      <c r="E372" s="1">
        <v>45874</v>
      </c>
      <c r="F372" s="24">
        <f t="shared" si="50"/>
        <v>2025</v>
      </c>
      <c r="G372" s="24" t="str">
        <f t="shared" si="51"/>
        <v>August</v>
      </c>
      <c r="H372" s="24" t="str">
        <f t="shared" si="52"/>
        <v>Tuesday</v>
      </c>
      <c r="I372" s="22">
        <v>0.53118055555555554</v>
      </c>
      <c r="J372" s="24">
        <f t="shared" si="53"/>
        <v>12</v>
      </c>
      <c r="K372" s="24">
        <f t="shared" si="54"/>
        <v>44</v>
      </c>
      <c r="L372" s="24">
        <f t="shared" si="55"/>
        <v>54</v>
      </c>
      <c r="M372" t="s">
        <v>26</v>
      </c>
      <c r="N372" t="s">
        <v>27</v>
      </c>
      <c r="O372" s="24">
        <v>8</v>
      </c>
      <c r="P372" s="11">
        <v>660.12</v>
      </c>
      <c r="Q372" s="26">
        <f>VLOOKUP('Prepared Sales Dataset'!M372,'Product-cost'!A:B,2,FALSE)</f>
        <v>300</v>
      </c>
      <c r="R372" t="s">
        <v>35</v>
      </c>
      <c r="S372" t="s">
        <v>56</v>
      </c>
      <c r="U372" t="s">
        <v>923</v>
      </c>
      <c r="V372" s="17">
        <f>P372*O372</f>
        <v>5280.96</v>
      </c>
      <c r="W372" s="19">
        <f>O372*Q372</f>
        <v>2400</v>
      </c>
      <c r="X372" s="13">
        <f>VLOOKUP(R372,Taxrate!A:B,2,FALSE)</f>
        <v>0.2</v>
      </c>
      <c r="Y372" s="15">
        <f t="shared" si="56"/>
        <v>1056.192</v>
      </c>
      <c r="Z372" s="9">
        <f>VLOOKUP(M372,'Discount Rate'!A:B,2,FALSE)</f>
        <v>0.1</v>
      </c>
      <c r="AA372" s="11">
        <f t="shared" si="57"/>
        <v>528.096</v>
      </c>
      <c r="AB372" s="15">
        <f t="shared" si="58"/>
        <v>3696.672</v>
      </c>
      <c r="AC372" s="15">
        <f t="shared" si="59"/>
        <v>1296.672</v>
      </c>
    </row>
    <row r="373" spans="1:29" x14ac:dyDescent="0.35">
      <c r="A373" t="s">
        <v>801</v>
      </c>
      <c r="B373" t="s">
        <v>643</v>
      </c>
      <c r="C373" t="s">
        <v>77</v>
      </c>
      <c r="D373" t="s">
        <v>63</v>
      </c>
      <c r="E373" s="1">
        <v>45386</v>
      </c>
      <c r="F373" s="24">
        <f t="shared" si="50"/>
        <v>2024</v>
      </c>
      <c r="G373" s="24" t="str">
        <f t="shared" si="51"/>
        <v>April</v>
      </c>
      <c r="H373" s="24" t="str">
        <f t="shared" si="52"/>
        <v>Thursday</v>
      </c>
      <c r="I373" s="22">
        <v>0.49712962962962964</v>
      </c>
      <c r="J373" s="24">
        <f t="shared" si="53"/>
        <v>11</v>
      </c>
      <c r="K373" s="24">
        <f t="shared" si="54"/>
        <v>55</v>
      </c>
      <c r="L373" s="24">
        <f t="shared" si="55"/>
        <v>52</v>
      </c>
      <c r="M373" t="s">
        <v>33</v>
      </c>
      <c r="N373" t="s">
        <v>34</v>
      </c>
      <c r="O373" s="24">
        <v>8</v>
      </c>
      <c r="P373" s="11">
        <v>406.26</v>
      </c>
      <c r="Q373" s="26">
        <f>VLOOKUP('Prepared Sales Dataset'!M373,'Product-cost'!A:B,2,FALSE)</f>
        <v>200</v>
      </c>
      <c r="R373" t="s">
        <v>35</v>
      </c>
      <c r="S373" t="s">
        <v>80</v>
      </c>
      <c r="T373" t="s">
        <v>74</v>
      </c>
      <c r="U373" t="s">
        <v>922</v>
      </c>
      <c r="V373" s="17">
        <f>P373*O373</f>
        <v>3250.08</v>
      </c>
      <c r="W373" s="19">
        <f>O373*Q373</f>
        <v>1600</v>
      </c>
      <c r="X373" s="13">
        <f>VLOOKUP(R373,Taxrate!A:B,2,FALSE)</f>
        <v>0.2</v>
      </c>
      <c r="Y373" s="15">
        <f t="shared" si="56"/>
        <v>650.01600000000008</v>
      </c>
      <c r="Z373" s="9">
        <f>VLOOKUP(M373,'Discount Rate'!A:B,2,FALSE)</f>
        <v>0.08</v>
      </c>
      <c r="AA373" s="11">
        <f t="shared" si="57"/>
        <v>260.00639999999999</v>
      </c>
      <c r="AB373" s="15">
        <f t="shared" si="58"/>
        <v>2340.0576000000001</v>
      </c>
      <c r="AC373" s="15">
        <f t="shared" si="59"/>
        <v>740.05760000000009</v>
      </c>
    </row>
    <row r="374" spans="1:29" x14ac:dyDescent="0.35">
      <c r="A374" t="s">
        <v>802</v>
      </c>
      <c r="B374" t="s">
        <v>297</v>
      </c>
      <c r="C374" t="s">
        <v>205</v>
      </c>
      <c r="D374" t="s">
        <v>170</v>
      </c>
      <c r="E374" s="1">
        <v>46192</v>
      </c>
      <c r="F374" s="24">
        <f t="shared" si="50"/>
        <v>2026</v>
      </c>
      <c r="G374" s="24" t="str">
        <f t="shared" si="51"/>
        <v>June</v>
      </c>
      <c r="H374" s="24" t="str">
        <f t="shared" si="52"/>
        <v>Friday</v>
      </c>
      <c r="I374" s="22">
        <v>0.47473379629629631</v>
      </c>
      <c r="J374" s="24">
        <f t="shared" si="53"/>
        <v>11</v>
      </c>
      <c r="K374" s="24">
        <f t="shared" si="54"/>
        <v>23</v>
      </c>
      <c r="L374" s="24">
        <f t="shared" si="55"/>
        <v>37</v>
      </c>
      <c r="M374" t="s">
        <v>78</v>
      </c>
      <c r="N374" t="s">
        <v>79</v>
      </c>
      <c r="O374" s="24">
        <v>8</v>
      </c>
      <c r="P374" s="11">
        <v>185.36</v>
      </c>
      <c r="Q374" s="26">
        <f>VLOOKUP('Prepared Sales Dataset'!M374,'Product-cost'!A:B,2,FALSE)</f>
        <v>50</v>
      </c>
      <c r="R374" t="s">
        <v>42</v>
      </c>
      <c r="S374" t="s">
        <v>272</v>
      </c>
      <c r="U374" t="s">
        <v>923</v>
      </c>
      <c r="V374" s="17">
        <f>P374*O374</f>
        <v>1482.88</v>
      </c>
      <c r="W374" s="19">
        <f>O374*Q374</f>
        <v>400</v>
      </c>
      <c r="X374" s="13">
        <f>VLOOKUP(R374,Taxrate!A:B,2,FALSE)</f>
        <v>0.15</v>
      </c>
      <c r="Y374" s="15">
        <f t="shared" si="56"/>
        <v>222.43200000000002</v>
      </c>
      <c r="Z374" s="9">
        <f>VLOOKUP(M374,'Discount Rate'!A:B,2,FALSE)</f>
        <v>0.03</v>
      </c>
      <c r="AA374" s="11">
        <f t="shared" si="57"/>
        <v>44.486400000000003</v>
      </c>
      <c r="AB374" s="15">
        <f t="shared" si="58"/>
        <v>1215.9616000000001</v>
      </c>
      <c r="AC374" s="15">
        <f t="shared" si="59"/>
        <v>815.96160000000009</v>
      </c>
    </row>
    <row r="375" spans="1:29" x14ac:dyDescent="0.35">
      <c r="A375" t="s">
        <v>803</v>
      </c>
      <c r="B375" t="s">
        <v>804</v>
      </c>
      <c r="C375" t="s">
        <v>77</v>
      </c>
      <c r="D375" t="s">
        <v>63</v>
      </c>
      <c r="E375" s="1">
        <v>46168</v>
      </c>
      <c r="F375" s="24">
        <f t="shared" si="50"/>
        <v>2026</v>
      </c>
      <c r="G375" s="24" t="str">
        <f t="shared" si="51"/>
        <v>May</v>
      </c>
      <c r="H375" s="24" t="str">
        <f t="shared" si="52"/>
        <v>Tuesday</v>
      </c>
      <c r="I375" s="22">
        <v>0.3448148148148148</v>
      </c>
      <c r="J375" s="24">
        <f t="shared" si="53"/>
        <v>8</v>
      </c>
      <c r="K375" s="24">
        <f t="shared" si="54"/>
        <v>16</v>
      </c>
      <c r="L375" s="24">
        <f t="shared" si="55"/>
        <v>32</v>
      </c>
      <c r="M375" t="s">
        <v>49</v>
      </c>
      <c r="N375" t="s">
        <v>50</v>
      </c>
      <c r="O375" s="24">
        <v>7</v>
      </c>
      <c r="P375" s="11">
        <v>190.55</v>
      </c>
      <c r="Q375" s="26">
        <f>VLOOKUP('Prepared Sales Dataset'!M375,'Product-cost'!A:B,2,FALSE)</f>
        <v>150</v>
      </c>
      <c r="R375" t="s">
        <v>59</v>
      </c>
      <c r="S375" t="s">
        <v>241</v>
      </c>
      <c r="T375" t="s">
        <v>103</v>
      </c>
      <c r="U375" t="s">
        <v>921</v>
      </c>
      <c r="V375" s="17">
        <f>P375*O375</f>
        <v>1333.8500000000001</v>
      </c>
      <c r="W375" s="19">
        <f>O375*Q375</f>
        <v>1050</v>
      </c>
      <c r="X375" s="13">
        <f>VLOOKUP(R375,Taxrate!A:B,2,FALSE)</f>
        <v>0.12</v>
      </c>
      <c r="Y375" s="15">
        <f t="shared" si="56"/>
        <v>160.06200000000001</v>
      </c>
      <c r="Z375" s="9">
        <f>VLOOKUP(M375,'Discount Rate'!A:B,2,FALSE)</f>
        <v>7.0000000000000007E-2</v>
      </c>
      <c r="AA375" s="11">
        <f t="shared" si="57"/>
        <v>93.369500000000016</v>
      </c>
      <c r="AB375" s="15">
        <f t="shared" si="58"/>
        <v>1080.4185000000002</v>
      </c>
      <c r="AC375" s="15">
        <f t="shared" si="59"/>
        <v>30.418500000000222</v>
      </c>
    </row>
    <row r="376" spans="1:29" x14ac:dyDescent="0.35">
      <c r="A376" t="s">
        <v>805</v>
      </c>
      <c r="B376" t="s">
        <v>806</v>
      </c>
      <c r="C376" t="s">
        <v>136</v>
      </c>
      <c r="D376" t="s">
        <v>25</v>
      </c>
      <c r="E376" s="1">
        <v>45217</v>
      </c>
      <c r="F376" s="24">
        <f t="shared" si="50"/>
        <v>2023</v>
      </c>
      <c r="G376" s="24" t="str">
        <f t="shared" si="51"/>
        <v>October</v>
      </c>
      <c r="H376" s="24" t="str">
        <f t="shared" si="52"/>
        <v>Wednesday</v>
      </c>
      <c r="I376" s="22">
        <v>0.38891203703703703</v>
      </c>
      <c r="J376" s="24">
        <f t="shared" si="53"/>
        <v>9</v>
      </c>
      <c r="K376" s="24">
        <f t="shared" si="54"/>
        <v>20</v>
      </c>
      <c r="L376" s="24">
        <f t="shared" si="55"/>
        <v>2</v>
      </c>
      <c r="M376" t="s">
        <v>26</v>
      </c>
      <c r="N376" t="s">
        <v>27</v>
      </c>
      <c r="O376" s="24">
        <v>14</v>
      </c>
      <c r="P376" s="11">
        <v>588.17999999999995</v>
      </c>
      <c r="Q376" s="26">
        <f>VLOOKUP('Prepared Sales Dataset'!M376,'Product-cost'!A:B,2,FALSE)</f>
        <v>300</v>
      </c>
      <c r="R376" t="s">
        <v>42</v>
      </c>
      <c r="S376" t="s">
        <v>56</v>
      </c>
      <c r="U376" t="s">
        <v>923</v>
      </c>
      <c r="V376" s="17">
        <f>P376*O376</f>
        <v>8234.5199999999986</v>
      </c>
      <c r="W376" s="19">
        <f>O376*Q376</f>
        <v>4200</v>
      </c>
      <c r="X376" s="13">
        <f>VLOOKUP(R376,Taxrate!A:B,2,FALSE)</f>
        <v>0.15</v>
      </c>
      <c r="Y376" s="15">
        <f t="shared" si="56"/>
        <v>1235.1779999999997</v>
      </c>
      <c r="Z376" s="9">
        <f>VLOOKUP(M376,'Discount Rate'!A:B,2,FALSE)</f>
        <v>0.1</v>
      </c>
      <c r="AA376" s="11">
        <f t="shared" si="57"/>
        <v>823.45199999999988</v>
      </c>
      <c r="AB376" s="15">
        <f t="shared" si="58"/>
        <v>6175.8899999999994</v>
      </c>
      <c r="AC376" s="15">
        <f t="shared" si="59"/>
        <v>1975.8899999999994</v>
      </c>
    </row>
    <row r="377" spans="1:29" x14ac:dyDescent="0.35">
      <c r="A377" t="s">
        <v>807</v>
      </c>
      <c r="B377" t="s">
        <v>808</v>
      </c>
      <c r="C377" t="s">
        <v>77</v>
      </c>
      <c r="D377" t="s">
        <v>63</v>
      </c>
      <c r="E377" s="1">
        <v>46065</v>
      </c>
      <c r="F377" s="24">
        <f t="shared" si="50"/>
        <v>2026</v>
      </c>
      <c r="G377" s="24" t="str">
        <f t="shared" si="51"/>
        <v>February</v>
      </c>
      <c r="H377" s="24" t="str">
        <f t="shared" si="52"/>
        <v>Thursday</v>
      </c>
      <c r="I377" s="22">
        <v>0.34177083333333336</v>
      </c>
      <c r="J377" s="24">
        <f t="shared" si="53"/>
        <v>8</v>
      </c>
      <c r="K377" s="24">
        <f t="shared" si="54"/>
        <v>12</v>
      </c>
      <c r="L377" s="24">
        <f t="shared" si="55"/>
        <v>9</v>
      </c>
      <c r="M377" t="s">
        <v>17</v>
      </c>
      <c r="N377" t="s">
        <v>18</v>
      </c>
      <c r="O377" s="24">
        <v>1</v>
      </c>
      <c r="P377" s="11">
        <v>881.78</v>
      </c>
      <c r="Q377" s="26">
        <f>VLOOKUP('Prepared Sales Dataset'!M377,'Product-cost'!A:B,2,FALSE)</f>
        <v>600</v>
      </c>
      <c r="R377" t="s">
        <v>42</v>
      </c>
      <c r="S377" t="s">
        <v>80</v>
      </c>
      <c r="T377" t="s">
        <v>166</v>
      </c>
      <c r="U377" t="s">
        <v>921</v>
      </c>
      <c r="V377" s="17">
        <f>P377*O377</f>
        <v>881.78</v>
      </c>
      <c r="W377" s="19">
        <f>O377*Q377</f>
        <v>600</v>
      </c>
      <c r="X377" s="13">
        <f>VLOOKUP(R377,Taxrate!A:B,2,FALSE)</f>
        <v>0.15</v>
      </c>
      <c r="Y377" s="15">
        <f t="shared" si="56"/>
        <v>132.267</v>
      </c>
      <c r="Z377" s="9">
        <f>VLOOKUP(M377,'Discount Rate'!A:B,2,FALSE)</f>
        <v>0.05</v>
      </c>
      <c r="AA377" s="11">
        <f t="shared" si="57"/>
        <v>44.088999999999999</v>
      </c>
      <c r="AB377" s="15">
        <f t="shared" si="58"/>
        <v>705.42399999999998</v>
      </c>
      <c r="AC377" s="15">
        <f t="shared" si="59"/>
        <v>105.42399999999998</v>
      </c>
    </row>
    <row r="378" spans="1:29" x14ac:dyDescent="0.35">
      <c r="A378" t="s">
        <v>809</v>
      </c>
      <c r="B378" t="s">
        <v>810</v>
      </c>
      <c r="C378" t="s">
        <v>77</v>
      </c>
      <c r="D378" t="s">
        <v>63</v>
      </c>
      <c r="E378" s="1">
        <v>45230</v>
      </c>
      <c r="F378" s="24">
        <f t="shared" si="50"/>
        <v>2023</v>
      </c>
      <c r="G378" s="24" t="str">
        <f t="shared" si="51"/>
        <v>October</v>
      </c>
      <c r="H378" s="24" t="str">
        <f t="shared" si="52"/>
        <v>Tuesday</v>
      </c>
      <c r="I378" s="22">
        <v>0.5452893518518519</v>
      </c>
      <c r="J378" s="24">
        <f t="shared" si="53"/>
        <v>13</v>
      </c>
      <c r="K378" s="24">
        <f t="shared" si="54"/>
        <v>5</v>
      </c>
      <c r="L378" s="24">
        <f t="shared" si="55"/>
        <v>13</v>
      </c>
      <c r="M378" t="s">
        <v>33</v>
      </c>
      <c r="N378" t="s">
        <v>34</v>
      </c>
      <c r="O378" s="24">
        <v>3</v>
      </c>
      <c r="P378" s="11">
        <v>484.51</v>
      </c>
      <c r="Q378" s="26">
        <f>VLOOKUP('Prepared Sales Dataset'!M378,'Product-cost'!A:B,2,FALSE)</f>
        <v>200</v>
      </c>
      <c r="R378" t="s">
        <v>59</v>
      </c>
      <c r="S378" t="s">
        <v>80</v>
      </c>
      <c r="T378" t="s">
        <v>21</v>
      </c>
      <c r="U378" t="s">
        <v>921</v>
      </c>
      <c r="V378" s="17">
        <f>P378*O378</f>
        <v>1453.53</v>
      </c>
      <c r="W378" s="19">
        <f>O378*Q378</f>
        <v>600</v>
      </c>
      <c r="X378" s="13">
        <f>VLOOKUP(R378,Taxrate!A:B,2,FALSE)</f>
        <v>0.12</v>
      </c>
      <c r="Y378" s="15">
        <f t="shared" si="56"/>
        <v>174.42359999999999</v>
      </c>
      <c r="Z378" s="9">
        <f>VLOOKUP(M378,'Discount Rate'!A:B,2,FALSE)</f>
        <v>0.08</v>
      </c>
      <c r="AA378" s="11">
        <f t="shared" si="57"/>
        <v>116.2824</v>
      </c>
      <c r="AB378" s="15">
        <f t="shared" si="58"/>
        <v>1162.8240000000001</v>
      </c>
      <c r="AC378" s="15">
        <f t="shared" si="59"/>
        <v>562.82400000000007</v>
      </c>
    </row>
    <row r="379" spans="1:29" x14ac:dyDescent="0.35">
      <c r="A379" t="s">
        <v>811</v>
      </c>
      <c r="B379" t="s">
        <v>812</v>
      </c>
      <c r="C379" t="s">
        <v>24</v>
      </c>
      <c r="D379" t="s">
        <v>25</v>
      </c>
      <c r="E379" s="1">
        <v>46313</v>
      </c>
      <c r="F379" s="24">
        <f t="shared" si="50"/>
        <v>2026</v>
      </c>
      <c r="G379" s="24" t="str">
        <f t="shared" si="51"/>
        <v>October</v>
      </c>
      <c r="H379" s="24" t="str">
        <f t="shared" si="52"/>
        <v>Sunday</v>
      </c>
      <c r="I379" s="22">
        <v>0.54256944444444444</v>
      </c>
      <c r="J379" s="24">
        <f t="shared" si="53"/>
        <v>13</v>
      </c>
      <c r="K379" s="24">
        <f t="shared" si="54"/>
        <v>1</v>
      </c>
      <c r="L379" s="24">
        <f t="shared" si="55"/>
        <v>18</v>
      </c>
      <c r="M379" t="s">
        <v>17</v>
      </c>
      <c r="N379" t="s">
        <v>18</v>
      </c>
      <c r="O379" s="24">
        <v>10</v>
      </c>
      <c r="P379" s="11">
        <v>853.03</v>
      </c>
      <c r="Q379" s="26">
        <f>VLOOKUP('Prepared Sales Dataset'!M379,'Product-cost'!A:B,2,FALSE)</f>
        <v>600</v>
      </c>
      <c r="R379" t="s">
        <v>28</v>
      </c>
      <c r="S379" t="s">
        <v>29</v>
      </c>
      <c r="T379" t="s">
        <v>103</v>
      </c>
      <c r="U379" t="s">
        <v>921</v>
      </c>
      <c r="V379" s="17">
        <f>P379*O379</f>
        <v>8530.2999999999993</v>
      </c>
      <c r="W379" s="19">
        <f>O379*Q379</f>
        <v>6000</v>
      </c>
      <c r="X379" s="13">
        <f>VLOOKUP(R379,Taxrate!A:B,2,FALSE)</f>
        <v>0.1</v>
      </c>
      <c r="Y379" s="15">
        <f t="shared" si="56"/>
        <v>853.03</v>
      </c>
      <c r="Z379" s="9">
        <f>VLOOKUP(M379,'Discount Rate'!A:B,2,FALSE)</f>
        <v>0.05</v>
      </c>
      <c r="AA379" s="11">
        <f t="shared" si="57"/>
        <v>426.51499999999999</v>
      </c>
      <c r="AB379" s="15">
        <f t="shared" si="58"/>
        <v>7250.7549999999992</v>
      </c>
      <c r="AC379" s="15">
        <f t="shared" si="59"/>
        <v>1250.7549999999992</v>
      </c>
    </row>
    <row r="380" spans="1:29" x14ac:dyDescent="0.35">
      <c r="A380" t="s">
        <v>813</v>
      </c>
      <c r="B380" t="s">
        <v>814</v>
      </c>
      <c r="C380" t="s">
        <v>88</v>
      </c>
      <c r="D380" t="s">
        <v>41</v>
      </c>
      <c r="E380" s="1">
        <v>46270</v>
      </c>
      <c r="F380" s="24">
        <f t="shared" si="50"/>
        <v>2026</v>
      </c>
      <c r="G380" s="24" t="str">
        <f t="shared" si="51"/>
        <v>September</v>
      </c>
      <c r="H380" s="24" t="str">
        <f t="shared" si="52"/>
        <v>Saturday</v>
      </c>
      <c r="I380" s="22">
        <v>0.57414351851851853</v>
      </c>
      <c r="J380" s="24">
        <f t="shared" si="53"/>
        <v>13</v>
      </c>
      <c r="K380" s="24">
        <f t="shared" si="54"/>
        <v>46</v>
      </c>
      <c r="L380" s="24">
        <f t="shared" si="55"/>
        <v>46</v>
      </c>
      <c r="M380" t="s">
        <v>49</v>
      </c>
      <c r="N380" t="s">
        <v>50</v>
      </c>
      <c r="O380" s="24">
        <v>14</v>
      </c>
      <c r="P380" s="11">
        <v>506</v>
      </c>
      <c r="Q380" s="26">
        <f>VLOOKUP('Prepared Sales Dataset'!M380,'Product-cost'!A:B,2,FALSE)</f>
        <v>150</v>
      </c>
      <c r="R380" t="s">
        <v>28</v>
      </c>
      <c r="S380" t="s">
        <v>90</v>
      </c>
      <c r="U380" t="s">
        <v>923</v>
      </c>
      <c r="V380" s="17">
        <f>P380*O380</f>
        <v>7084</v>
      </c>
      <c r="W380" s="19">
        <f>O380*Q380</f>
        <v>2100</v>
      </c>
      <c r="X380" s="13">
        <f>VLOOKUP(R380,Taxrate!A:B,2,FALSE)</f>
        <v>0.1</v>
      </c>
      <c r="Y380" s="15">
        <f t="shared" si="56"/>
        <v>708.40000000000009</v>
      </c>
      <c r="Z380" s="9">
        <f>VLOOKUP(M380,'Discount Rate'!A:B,2,FALSE)</f>
        <v>7.0000000000000007E-2</v>
      </c>
      <c r="AA380" s="11">
        <f t="shared" si="57"/>
        <v>495.88000000000005</v>
      </c>
      <c r="AB380" s="15">
        <f t="shared" si="58"/>
        <v>5879.7199999999993</v>
      </c>
      <c r="AC380" s="15">
        <f t="shared" si="59"/>
        <v>3779.7199999999993</v>
      </c>
    </row>
    <row r="381" spans="1:29" x14ac:dyDescent="0.35">
      <c r="A381" t="s">
        <v>815</v>
      </c>
      <c r="B381" t="s">
        <v>702</v>
      </c>
      <c r="C381" t="s">
        <v>169</v>
      </c>
      <c r="D381" t="s">
        <v>170</v>
      </c>
      <c r="E381" s="1">
        <v>44969</v>
      </c>
      <c r="F381" s="24">
        <f t="shared" si="50"/>
        <v>2023</v>
      </c>
      <c r="G381" s="24" t="str">
        <f t="shared" si="51"/>
        <v>February</v>
      </c>
      <c r="H381" s="24" t="str">
        <f t="shared" si="52"/>
        <v>Sunday</v>
      </c>
      <c r="I381" s="22">
        <v>0.43390046296296297</v>
      </c>
      <c r="J381" s="24">
        <f t="shared" si="53"/>
        <v>10</v>
      </c>
      <c r="K381" s="24">
        <f t="shared" si="54"/>
        <v>24</v>
      </c>
      <c r="L381" s="24">
        <f t="shared" si="55"/>
        <v>49</v>
      </c>
      <c r="M381" t="s">
        <v>78</v>
      </c>
      <c r="N381" t="s">
        <v>79</v>
      </c>
      <c r="O381" s="24">
        <v>13</v>
      </c>
      <c r="P381" s="11">
        <v>131.56</v>
      </c>
      <c r="Q381" s="26">
        <f>VLOOKUP('Prepared Sales Dataset'!M381,'Product-cost'!A:B,2,FALSE)</f>
        <v>50</v>
      </c>
      <c r="R381" t="s">
        <v>28</v>
      </c>
      <c r="S381" t="s">
        <v>272</v>
      </c>
      <c r="U381" t="s">
        <v>923</v>
      </c>
      <c r="V381" s="17">
        <f>P381*O381</f>
        <v>1710.28</v>
      </c>
      <c r="W381" s="19">
        <f>O381*Q381</f>
        <v>650</v>
      </c>
      <c r="X381" s="13">
        <f>VLOOKUP(R381,Taxrate!A:B,2,FALSE)</f>
        <v>0.1</v>
      </c>
      <c r="Y381" s="15">
        <f t="shared" si="56"/>
        <v>171.02800000000002</v>
      </c>
      <c r="Z381" s="9">
        <f>VLOOKUP(M381,'Discount Rate'!A:B,2,FALSE)</f>
        <v>0.03</v>
      </c>
      <c r="AA381" s="11">
        <f t="shared" si="57"/>
        <v>51.308399999999999</v>
      </c>
      <c r="AB381" s="15">
        <f t="shared" si="58"/>
        <v>1487.9436000000001</v>
      </c>
      <c r="AC381" s="15">
        <f t="shared" si="59"/>
        <v>837.94360000000006</v>
      </c>
    </row>
    <row r="382" spans="1:29" x14ac:dyDescent="0.35">
      <c r="A382" t="s">
        <v>816</v>
      </c>
      <c r="B382" t="s">
        <v>817</v>
      </c>
      <c r="C382" t="s">
        <v>40</v>
      </c>
      <c r="D382" t="s">
        <v>41</v>
      </c>
      <c r="E382" s="1">
        <v>45929</v>
      </c>
      <c r="F382" s="24">
        <f t="shared" si="50"/>
        <v>2025</v>
      </c>
      <c r="G382" s="24" t="str">
        <f t="shared" si="51"/>
        <v>September</v>
      </c>
      <c r="H382" s="24" t="str">
        <f t="shared" si="52"/>
        <v>Monday</v>
      </c>
      <c r="I382" s="22">
        <v>0.60436342592592596</v>
      </c>
      <c r="J382" s="24">
        <f t="shared" si="53"/>
        <v>14</v>
      </c>
      <c r="K382" s="24">
        <f t="shared" si="54"/>
        <v>30</v>
      </c>
      <c r="L382" s="24">
        <f t="shared" si="55"/>
        <v>17</v>
      </c>
      <c r="M382" t="s">
        <v>49</v>
      </c>
      <c r="N382" t="s">
        <v>50</v>
      </c>
      <c r="O382" s="24">
        <v>2</v>
      </c>
      <c r="P382" s="11">
        <v>265.20999999999998</v>
      </c>
      <c r="Q382" s="26">
        <f>VLOOKUP('Prepared Sales Dataset'!M382,'Product-cost'!A:B,2,FALSE)</f>
        <v>150</v>
      </c>
      <c r="R382" t="s">
        <v>59</v>
      </c>
      <c r="S382" t="s">
        <v>90</v>
      </c>
      <c r="T382" t="s">
        <v>172</v>
      </c>
      <c r="U382" t="s">
        <v>921</v>
      </c>
      <c r="V382" s="17">
        <f>P382*O382</f>
        <v>530.41999999999996</v>
      </c>
      <c r="W382" s="19">
        <f>O382*Q382</f>
        <v>300</v>
      </c>
      <c r="X382" s="13">
        <f>VLOOKUP(R382,Taxrate!A:B,2,FALSE)</f>
        <v>0.12</v>
      </c>
      <c r="Y382" s="15">
        <f t="shared" si="56"/>
        <v>63.650399999999991</v>
      </c>
      <c r="Z382" s="9">
        <f>VLOOKUP(M382,'Discount Rate'!A:B,2,FALSE)</f>
        <v>7.0000000000000007E-2</v>
      </c>
      <c r="AA382" s="11">
        <f t="shared" si="57"/>
        <v>37.129400000000004</v>
      </c>
      <c r="AB382" s="15">
        <f t="shared" si="58"/>
        <v>429.64019999999994</v>
      </c>
      <c r="AC382" s="15">
        <f t="shared" si="59"/>
        <v>129.64019999999994</v>
      </c>
    </row>
    <row r="383" spans="1:29" x14ac:dyDescent="0.35">
      <c r="A383" t="s">
        <v>818</v>
      </c>
      <c r="B383" t="s">
        <v>819</v>
      </c>
      <c r="C383" t="s">
        <v>139</v>
      </c>
      <c r="D383" t="s">
        <v>25</v>
      </c>
      <c r="E383" s="1">
        <v>46006</v>
      </c>
      <c r="F383" s="24">
        <f t="shared" si="50"/>
        <v>2025</v>
      </c>
      <c r="G383" s="24" t="str">
        <f t="shared" si="51"/>
        <v>December</v>
      </c>
      <c r="H383" s="24" t="str">
        <f t="shared" si="52"/>
        <v>Monday</v>
      </c>
      <c r="I383" s="22">
        <v>0.52045138888888887</v>
      </c>
      <c r="J383" s="24">
        <f t="shared" si="53"/>
        <v>12</v>
      </c>
      <c r="K383" s="24">
        <f t="shared" si="54"/>
        <v>29</v>
      </c>
      <c r="L383" s="24">
        <f t="shared" si="55"/>
        <v>27</v>
      </c>
      <c r="M383" t="s">
        <v>17</v>
      </c>
      <c r="N383" t="s">
        <v>18</v>
      </c>
      <c r="O383" s="24">
        <v>8</v>
      </c>
      <c r="P383" s="11">
        <v>1292.0899999999999</v>
      </c>
      <c r="Q383" s="26">
        <f>VLOOKUP('Prepared Sales Dataset'!M383,'Product-cost'!A:B,2,FALSE)</f>
        <v>600</v>
      </c>
      <c r="R383" t="s">
        <v>28</v>
      </c>
      <c r="S383" t="s">
        <v>155</v>
      </c>
      <c r="T383" t="s">
        <v>166</v>
      </c>
      <c r="U383" t="s">
        <v>921</v>
      </c>
      <c r="V383" s="17">
        <f>P383*O383</f>
        <v>10336.719999999999</v>
      </c>
      <c r="W383" s="19">
        <f>O383*Q383</f>
        <v>4800</v>
      </c>
      <c r="X383" s="13">
        <f>VLOOKUP(R383,Taxrate!A:B,2,FALSE)</f>
        <v>0.1</v>
      </c>
      <c r="Y383" s="15">
        <f t="shared" si="56"/>
        <v>1033.672</v>
      </c>
      <c r="Z383" s="9">
        <f>VLOOKUP(M383,'Discount Rate'!A:B,2,FALSE)</f>
        <v>0.05</v>
      </c>
      <c r="AA383" s="11">
        <f t="shared" si="57"/>
        <v>516.83600000000001</v>
      </c>
      <c r="AB383" s="15">
        <f t="shared" si="58"/>
        <v>8786.2119999999995</v>
      </c>
      <c r="AC383" s="15">
        <f t="shared" si="59"/>
        <v>3986.2119999999995</v>
      </c>
    </row>
    <row r="384" spans="1:29" x14ac:dyDescent="0.35">
      <c r="A384" t="s">
        <v>820</v>
      </c>
      <c r="B384" t="s">
        <v>821</v>
      </c>
      <c r="C384" t="s">
        <v>106</v>
      </c>
      <c r="D384" t="s">
        <v>107</v>
      </c>
      <c r="E384" s="1">
        <v>45120</v>
      </c>
      <c r="F384" s="24">
        <f t="shared" si="50"/>
        <v>2023</v>
      </c>
      <c r="G384" s="24" t="str">
        <f t="shared" si="51"/>
        <v>July</v>
      </c>
      <c r="H384" s="24" t="str">
        <f t="shared" si="52"/>
        <v>Thursday</v>
      </c>
      <c r="I384" s="22">
        <v>0.78236111111111106</v>
      </c>
      <c r="J384" s="24">
        <f t="shared" si="53"/>
        <v>18</v>
      </c>
      <c r="K384" s="24">
        <f t="shared" si="54"/>
        <v>46</v>
      </c>
      <c r="L384" s="24">
        <f t="shared" si="55"/>
        <v>36</v>
      </c>
      <c r="M384" t="s">
        <v>33</v>
      </c>
      <c r="N384" t="s">
        <v>34</v>
      </c>
      <c r="O384" s="24">
        <v>10</v>
      </c>
      <c r="P384" s="11">
        <v>506</v>
      </c>
      <c r="Q384" s="26">
        <f>VLOOKUP('Prepared Sales Dataset'!M384,'Product-cost'!A:B,2,FALSE)</f>
        <v>200</v>
      </c>
      <c r="R384" t="s">
        <v>59</v>
      </c>
      <c r="S384" t="s">
        <v>108</v>
      </c>
      <c r="T384" t="s">
        <v>125</v>
      </c>
      <c r="U384" t="s">
        <v>921</v>
      </c>
      <c r="V384" s="17">
        <f>P384*O384</f>
        <v>5060</v>
      </c>
      <c r="W384" s="19">
        <f>O384*Q384</f>
        <v>2000</v>
      </c>
      <c r="X384" s="13">
        <f>VLOOKUP(R384,Taxrate!A:B,2,FALSE)</f>
        <v>0.12</v>
      </c>
      <c r="Y384" s="15">
        <f t="shared" si="56"/>
        <v>607.19999999999993</v>
      </c>
      <c r="Z384" s="9">
        <f>VLOOKUP(M384,'Discount Rate'!A:B,2,FALSE)</f>
        <v>0.08</v>
      </c>
      <c r="AA384" s="11">
        <f t="shared" si="57"/>
        <v>404.8</v>
      </c>
      <c r="AB384" s="15">
        <f t="shared" si="58"/>
        <v>4048</v>
      </c>
      <c r="AC384" s="15">
        <f t="shared" si="59"/>
        <v>2048</v>
      </c>
    </row>
    <row r="385" spans="1:29" x14ac:dyDescent="0.35">
      <c r="A385" t="s">
        <v>822</v>
      </c>
      <c r="B385" t="s">
        <v>445</v>
      </c>
      <c r="C385" t="s">
        <v>128</v>
      </c>
      <c r="D385" t="s">
        <v>63</v>
      </c>
      <c r="E385" s="1">
        <v>46129</v>
      </c>
      <c r="F385" s="24">
        <f t="shared" si="50"/>
        <v>2026</v>
      </c>
      <c r="G385" s="24" t="str">
        <f t="shared" si="51"/>
        <v>April</v>
      </c>
      <c r="H385" s="24" t="str">
        <f t="shared" si="52"/>
        <v>Friday</v>
      </c>
      <c r="I385" s="22">
        <v>0.86282407407407402</v>
      </c>
      <c r="J385" s="24">
        <f t="shared" si="53"/>
        <v>20</v>
      </c>
      <c r="K385" s="24">
        <f t="shared" si="54"/>
        <v>42</v>
      </c>
      <c r="L385" s="24">
        <f t="shared" si="55"/>
        <v>28</v>
      </c>
      <c r="M385" t="s">
        <v>49</v>
      </c>
      <c r="N385" t="s">
        <v>50</v>
      </c>
      <c r="O385" s="24">
        <v>6</v>
      </c>
      <c r="P385" s="11">
        <v>271.85000000000002</v>
      </c>
      <c r="Q385" s="26">
        <f>VLOOKUP('Prepared Sales Dataset'!M385,'Product-cost'!A:B,2,FALSE)</f>
        <v>150</v>
      </c>
      <c r="R385" t="s">
        <v>35</v>
      </c>
      <c r="S385" t="s">
        <v>64</v>
      </c>
      <c r="U385" t="s">
        <v>923</v>
      </c>
      <c r="V385" s="17">
        <f>P385*O385</f>
        <v>1631.1000000000001</v>
      </c>
      <c r="W385" s="19">
        <f>O385*Q385</f>
        <v>900</v>
      </c>
      <c r="X385" s="13">
        <f>VLOOKUP(R385,Taxrate!A:B,2,FALSE)</f>
        <v>0.2</v>
      </c>
      <c r="Y385" s="15">
        <f t="shared" si="56"/>
        <v>326.22000000000003</v>
      </c>
      <c r="Z385" s="9">
        <f>VLOOKUP(M385,'Discount Rate'!A:B,2,FALSE)</f>
        <v>7.0000000000000007E-2</v>
      </c>
      <c r="AA385" s="11">
        <f t="shared" si="57"/>
        <v>114.17700000000002</v>
      </c>
      <c r="AB385" s="15">
        <f t="shared" si="58"/>
        <v>1190.703</v>
      </c>
      <c r="AC385" s="15">
        <f t="shared" si="59"/>
        <v>290.70299999999997</v>
      </c>
    </row>
    <row r="386" spans="1:29" x14ac:dyDescent="0.35">
      <c r="A386" t="s">
        <v>823</v>
      </c>
      <c r="B386" t="s">
        <v>814</v>
      </c>
      <c r="C386" t="s">
        <v>169</v>
      </c>
      <c r="D386" t="s">
        <v>170</v>
      </c>
      <c r="E386" s="1">
        <v>44954</v>
      </c>
      <c r="F386" s="24">
        <f t="shared" ref="F386:F449" si="60">YEAR(E386)</f>
        <v>2023</v>
      </c>
      <c r="G386" s="24" t="str">
        <f t="shared" si="51"/>
        <v>January</v>
      </c>
      <c r="H386" s="24" t="str">
        <f t="shared" si="52"/>
        <v>Saturday</v>
      </c>
      <c r="I386" s="22">
        <v>0.7711689814814815</v>
      </c>
      <c r="J386" s="24">
        <f t="shared" si="53"/>
        <v>18</v>
      </c>
      <c r="K386" s="24">
        <f t="shared" si="54"/>
        <v>30</v>
      </c>
      <c r="L386" s="24">
        <f t="shared" si="55"/>
        <v>29</v>
      </c>
      <c r="M386" t="s">
        <v>78</v>
      </c>
      <c r="N386" t="s">
        <v>79</v>
      </c>
      <c r="O386" s="24">
        <v>12</v>
      </c>
      <c r="P386" s="11">
        <v>156.5</v>
      </c>
      <c r="Q386" s="26">
        <f>VLOOKUP('Prepared Sales Dataset'!M386,'Product-cost'!A:B,2,FALSE)</f>
        <v>50</v>
      </c>
      <c r="R386" t="s">
        <v>59</v>
      </c>
      <c r="S386" t="s">
        <v>272</v>
      </c>
      <c r="T386" t="s">
        <v>142</v>
      </c>
      <c r="U386" t="s">
        <v>921</v>
      </c>
      <c r="V386" s="17">
        <f>P386*O386</f>
        <v>1878</v>
      </c>
      <c r="W386" s="19">
        <f>O386*Q386</f>
        <v>600</v>
      </c>
      <c r="X386" s="13">
        <f>VLOOKUP(R386,Taxrate!A:B,2,FALSE)</f>
        <v>0.12</v>
      </c>
      <c r="Y386" s="15">
        <f t="shared" si="56"/>
        <v>225.35999999999999</v>
      </c>
      <c r="Z386" s="9">
        <f>VLOOKUP(M386,'Discount Rate'!A:B,2,FALSE)</f>
        <v>0.03</v>
      </c>
      <c r="AA386" s="11">
        <f t="shared" si="57"/>
        <v>56.339999999999996</v>
      </c>
      <c r="AB386" s="15">
        <f t="shared" si="58"/>
        <v>1596.3</v>
      </c>
      <c r="AC386" s="15">
        <f t="shared" si="59"/>
        <v>996.3</v>
      </c>
    </row>
    <row r="387" spans="1:29" x14ac:dyDescent="0.35">
      <c r="A387" t="s">
        <v>824</v>
      </c>
      <c r="B387" t="s">
        <v>825</v>
      </c>
      <c r="C387" t="s">
        <v>15</v>
      </c>
      <c r="D387" t="s">
        <v>16</v>
      </c>
      <c r="E387" s="1">
        <v>46352</v>
      </c>
      <c r="F387" s="24">
        <f t="shared" si="60"/>
        <v>2026</v>
      </c>
      <c r="G387" s="24" t="str">
        <f t="shared" ref="G387:G435" si="61">TEXT(E387,"mmmm")</f>
        <v>November</v>
      </c>
      <c r="H387" s="24" t="str">
        <f t="shared" ref="H387:H435" si="62">TEXT(E387,"dddd")</f>
        <v>Thursday</v>
      </c>
      <c r="I387" s="22">
        <v>0.87584490740740739</v>
      </c>
      <c r="J387" s="24">
        <f t="shared" ref="J387:J435" si="63">HOUR(I387)</f>
        <v>21</v>
      </c>
      <c r="K387" s="24">
        <f t="shared" ref="K387:K435" si="64">MINUTE(I387)</f>
        <v>1</v>
      </c>
      <c r="L387" s="24">
        <f t="shared" ref="L387:L435" si="65">SECOND(I387)</f>
        <v>13</v>
      </c>
      <c r="M387" t="s">
        <v>78</v>
      </c>
      <c r="N387" t="s">
        <v>79</v>
      </c>
      <c r="O387" s="24">
        <v>11</v>
      </c>
      <c r="P387" s="11">
        <v>183.16</v>
      </c>
      <c r="Q387" s="26">
        <f>VLOOKUP('Prepared Sales Dataset'!M387,'Product-cost'!A:B,2,FALSE)</f>
        <v>50</v>
      </c>
      <c r="R387" t="s">
        <v>59</v>
      </c>
      <c r="S387" t="s">
        <v>20</v>
      </c>
      <c r="T387" t="s">
        <v>103</v>
      </c>
      <c r="U387" t="s">
        <v>921</v>
      </c>
      <c r="V387" s="17">
        <f>P387*O387</f>
        <v>2014.76</v>
      </c>
      <c r="W387" s="19">
        <f>O387*Q387</f>
        <v>550</v>
      </c>
      <c r="X387" s="13">
        <f>VLOOKUP(R387,Taxrate!A:B,2,FALSE)</f>
        <v>0.12</v>
      </c>
      <c r="Y387" s="15">
        <f t="shared" ref="Y387:Y435" si="66">V387*X387</f>
        <v>241.77119999999999</v>
      </c>
      <c r="Z387" s="9">
        <f>VLOOKUP(M387,'Discount Rate'!A:B,2,FALSE)</f>
        <v>0.03</v>
      </c>
      <c r="AA387" s="11">
        <f t="shared" ref="AA387:AA435" si="67">V387*Z387</f>
        <v>60.442799999999998</v>
      </c>
      <c r="AB387" s="15">
        <f t="shared" ref="AB387:AB435" si="68">V387-(Y387+AA387)</f>
        <v>1712.546</v>
      </c>
      <c r="AC387" s="15">
        <f t="shared" ref="AC387:AC435" si="69">AB387-W387</f>
        <v>1162.546</v>
      </c>
    </row>
    <row r="388" spans="1:29" x14ac:dyDescent="0.35">
      <c r="A388" t="s">
        <v>826</v>
      </c>
      <c r="B388" t="s">
        <v>827</v>
      </c>
      <c r="C388" t="s">
        <v>150</v>
      </c>
      <c r="D388" t="s">
        <v>25</v>
      </c>
      <c r="E388" s="1">
        <v>45892</v>
      </c>
      <c r="F388" s="24">
        <f t="shared" si="60"/>
        <v>2025</v>
      </c>
      <c r="G388" s="24" t="str">
        <f t="shared" si="61"/>
        <v>August</v>
      </c>
      <c r="H388" s="24" t="str">
        <f t="shared" si="62"/>
        <v>Saturday</v>
      </c>
      <c r="I388" s="22">
        <v>0.89487268518518515</v>
      </c>
      <c r="J388" s="24">
        <f t="shared" si="63"/>
        <v>21</v>
      </c>
      <c r="K388" s="24">
        <f t="shared" si="64"/>
        <v>28</v>
      </c>
      <c r="L388" s="24">
        <f t="shared" si="65"/>
        <v>37</v>
      </c>
      <c r="M388" t="s">
        <v>26</v>
      </c>
      <c r="N388" t="s">
        <v>27</v>
      </c>
      <c r="O388" s="24">
        <v>10</v>
      </c>
      <c r="P388" s="11">
        <v>597.52</v>
      </c>
      <c r="Q388" s="26">
        <f>VLOOKUP('Prepared Sales Dataset'!M388,'Product-cost'!A:B,2,FALSE)</f>
        <v>300</v>
      </c>
      <c r="R388" t="s">
        <v>28</v>
      </c>
      <c r="S388" t="s">
        <v>29</v>
      </c>
      <c r="T388" t="s">
        <v>231</v>
      </c>
      <c r="U388" t="s">
        <v>922</v>
      </c>
      <c r="V388" s="17">
        <f>P388*O388</f>
        <v>5975.2</v>
      </c>
      <c r="W388" s="19">
        <f>O388*Q388</f>
        <v>3000</v>
      </c>
      <c r="X388" s="13">
        <f>VLOOKUP(R388,Taxrate!A:B,2,FALSE)</f>
        <v>0.1</v>
      </c>
      <c r="Y388" s="15">
        <f t="shared" si="66"/>
        <v>597.52</v>
      </c>
      <c r="Z388" s="9">
        <f>VLOOKUP(M388,'Discount Rate'!A:B,2,FALSE)</f>
        <v>0.1</v>
      </c>
      <c r="AA388" s="11">
        <f t="shared" si="67"/>
        <v>597.52</v>
      </c>
      <c r="AB388" s="15">
        <f t="shared" si="68"/>
        <v>4780.16</v>
      </c>
      <c r="AC388" s="15">
        <f t="shared" si="69"/>
        <v>1780.1599999999999</v>
      </c>
    </row>
    <row r="389" spans="1:29" x14ac:dyDescent="0.35">
      <c r="A389" t="s">
        <v>828</v>
      </c>
      <c r="B389" t="s">
        <v>251</v>
      </c>
      <c r="C389" t="s">
        <v>128</v>
      </c>
      <c r="D389" t="s">
        <v>63</v>
      </c>
      <c r="E389" s="1">
        <v>45925</v>
      </c>
      <c r="F389" s="24">
        <f t="shared" si="60"/>
        <v>2025</v>
      </c>
      <c r="G389" s="24" t="str">
        <f t="shared" si="61"/>
        <v>September</v>
      </c>
      <c r="H389" s="24" t="str">
        <f t="shared" si="62"/>
        <v>Thursday</v>
      </c>
      <c r="I389" s="22">
        <v>0.64765046296296291</v>
      </c>
      <c r="J389" s="24">
        <f t="shared" si="63"/>
        <v>15</v>
      </c>
      <c r="K389" s="24">
        <f t="shared" si="64"/>
        <v>32</v>
      </c>
      <c r="L389" s="24">
        <f t="shared" si="65"/>
        <v>37</v>
      </c>
      <c r="M389" t="s">
        <v>49</v>
      </c>
      <c r="N389" t="s">
        <v>50</v>
      </c>
      <c r="O389" s="24">
        <v>15</v>
      </c>
      <c r="P389" s="11">
        <v>229.67</v>
      </c>
      <c r="Q389" s="26">
        <f>VLOOKUP('Prepared Sales Dataset'!M389,'Product-cost'!A:B,2,FALSE)</f>
        <v>150</v>
      </c>
      <c r="R389" t="s">
        <v>55</v>
      </c>
      <c r="S389" t="s">
        <v>241</v>
      </c>
      <c r="T389" t="s">
        <v>249</v>
      </c>
      <c r="U389" t="s">
        <v>921</v>
      </c>
      <c r="V389" s="17">
        <f>P389*O389</f>
        <v>3445.0499999999997</v>
      </c>
      <c r="W389" s="19">
        <f>O389*Q389</f>
        <v>2250</v>
      </c>
      <c r="X389" s="13">
        <f>VLOOKUP(R389,Taxrate!A:B,2,FALSE)</f>
        <v>7.0000000000000007E-2</v>
      </c>
      <c r="Y389" s="15">
        <f t="shared" si="66"/>
        <v>241.15350000000001</v>
      </c>
      <c r="Z389" s="9">
        <f>VLOOKUP(M389,'Discount Rate'!A:B,2,FALSE)</f>
        <v>7.0000000000000007E-2</v>
      </c>
      <c r="AA389" s="11">
        <f t="shared" si="67"/>
        <v>241.15350000000001</v>
      </c>
      <c r="AB389" s="15">
        <f t="shared" si="68"/>
        <v>2962.7429999999995</v>
      </c>
      <c r="AC389" s="15">
        <f t="shared" si="69"/>
        <v>712.74299999999948</v>
      </c>
    </row>
    <row r="390" spans="1:29" x14ac:dyDescent="0.35">
      <c r="A390" t="s">
        <v>829</v>
      </c>
      <c r="B390" t="s">
        <v>830</v>
      </c>
      <c r="C390" t="s">
        <v>77</v>
      </c>
      <c r="D390" t="s">
        <v>63</v>
      </c>
      <c r="E390" s="1">
        <v>45845</v>
      </c>
      <c r="F390" s="24">
        <f t="shared" si="60"/>
        <v>2025</v>
      </c>
      <c r="G390" s="24" t="str">
        <f t="shared" si="61"/>
        <v>July</v>
      </c>
      <c r="H390" s="24" t="str">
        <f t="shared" si="62"/>
        <v>Monday</v>
      </c>
      <c r="I390" s="22">
        <v>0.3404861111111111</v>
      </c>
      <c r="J390" s="24">
        <f t="shared" si="63"/>
        <v>8</v>
      </c>
      <c r="K390" s="24">
        <f t="shared" si="64"/>
        <v>10</v>
      </c>
      <c r="L390" s="24">
        <f t="shared" si="65"/>
        <v>18</v>
      </c>
      <c r="M390" t="s">
        <v>26</v>
      </c>
      <c r="N390" t="s">
        <v>27</v>
      </c>
      <c r="O390" s="24">
        <v>8</v>
      </c>
      <c r="P390" s="11">
        <v>545.91</v>
      </c>
      <c r="Q390" s="26">
        <f>VLOOKUP('Prepared Sales Dataset'!M390,'Product-cost'!A:B,2,FALSE)</f>
        <v>300</v>
      </c>
      <c r="R390" t="s">
        <v>28</v>
      </c>
      <c r="S390" t="s">
        <v>241</v>
      </c>
      <c r="U390" t="s">
        <v>923</v>
      </c>
      <c r="V390" s="17">
        <f>P390*O390</f>
        <v>4367.28</v>
      </c>
      <c r="W390" s="19">
        <f>O390*Q390</f>
        <v>2400</v>
      </c>
      <c r="X390" s="13">
        <f>VLOOKUP(R390,Taxrate!A:B,2,FALSE)</f>
        <v>0.1</v>
      </c>
      <c r="Y390" s="15">
        <f t="shared" si="66"/>
        <v>436.72800000000001</v>
      </c>
      <c r="Z390" s="9">
        <f>VLOOKUP(M390,'Discount Rate'!A:B,2,FALSE)</f>
        <v>0.1</v>
      </c>
      <c r="AA390" s="11">
        <f t="shared" si="67"/>
        <v>436.72800000000001</v>
      </c>
      <c r="AB390" s="15">
        <f t="shared" si="68"/>
        <v>3493.8239999999996</v>
      </c>
      <c r="AC390" s="15">
        <f t="shared" si="69"/>
        <v>1093.8239999999996</v>
      </c>
    </row>
    <row r="391" spans="1:29" x14ac:dyDescent="0.35">
      <c r="A391" t="s">
        <v>831</v>
      </c>
      <c r="B391" t="s">
        <v>832</v>
      </c>
      <c r="C391" t="s">
        <v>40</v>
      </c>
      <c r="D391" t="s">
        <v>41</v>
      </c>
      <c r="E391" s="1">
        <v>45258</v>
      </c>
      <c r="F391" s="24">
        <f t="shared" si="60"/>
        <v>2023</v>
      </c>
      <c r="G391" s="24" t="str">
        <f t="shared" si="61"/>
        <v>November</v>
      </c>
      <c r="H391" s="24" t="str">
        <f t="shared" si="62"/>
        <v>Tuesday</v>
      </c>
      <c r="I391" s="22">
        <v>0.53109953703703705</v>
      </c>
      <c r="J391" s="24">
        <f t="shared" si="63"/>
        <v>12</v>
      </c>
      <c r="K391" s="24">
        <f t="shared" si="64"/>
        <v>44</v>
      </c>
      <c r="L391" s="24">
        <f t="shared" si="65"/>
        <v>47</v>
      </c>
      <c r="M391" t="s">
        <v>17</v>
      </c>
      <c r="N391" t="s">
        <v>18</v>
      </c>
      <c r="O391" s="24">
        <v>3</v>
      </c>
      <c r="P391" s="11">
        <v>878.16</v>
      </c>
      <c r="Q391" s="26">
        <f>VLOOKUP('Prepared Sales Dataset'!M391,'Product-cost'!A:B,2,FALSE)</f>
        <v>600</v>
      </c>
      <c r="R391" t="s">
        <v>42</v>
      </c>
      <c r="S391" t="s">
        <v>43</v>
      </c>
      <c r="U391" t="s">
        <v>923</v>
      </c>
      <c r="V391" s="17">
        <f>P391*O391</f>
        <v>2634.48</v>
      </c>
      <c r="W391" s="19">
        <f>O391*Q391</f>
        <v>1800</v>
      </c>
      <c r="X391" s="13">
        <f>VLOOKUP(R391,Taxrate!A:B,2,FALSE)</f>
        <v>0.15</v>
      </c>
      <c r="Y391" s="15">
        <f t="shared" si="66"/>
        <v>395.17199999999997</v>
      </c>
      <c r="Z391" s="9">
        <f>VLOOKUP(M391,'Discount Rate'!A:B,2,FALSE)</f>
        <v>0.05</v>
      </c>
      <c r="AA391" s="11">
        <f t="shared" si="67"/>
        <v>131.72400000000002</v>
      </c>
      <c r="AB391" s="15">
        <f t="shared" si="68"/>
        <v>2107.5839999999998</v>
      </c>
      <c r="AC391" s="15">
        <f t="shared" si="69"/>
        <v>307.58399999999983</v>
      </c>
    </row>
    <row r="392" spans="1:29" x14ac:dyDescent="0.35">
      <c r="A392" t="s">
        <v>833</v>
      </c>
      <c r="B392" t="s">
        <v>727</v>
      </c>
      <c r="C392" t="s">
        <v>205</v>
      </c>
      <c r="D392" t="s">
        <v>170</v>
      </c>
      <c r="E392" s="1">
        <v>46313</v>
      </c>
      <c r="F392" s="24">
        <f t="shared" si="60"/>
        <v>2026</v>
      </c>
      <c r="G392" s="24" t="str">
        <f t="shared" si="61"/>
        <v>October</v>
      </c>
      <c r="H392" s="24" t="str">
        <f t="shared" si="62"/>
        <v>Sunday</v>
      </c>
      <c r="I392" s="22">
        <v>0.45341435185185186</v>
      </c>
      <c r="J392" s="24">
        <f t="shared" si="63"/>
        <v>10</v>
      </c>
      <c r="K392" s="24">
        <f t="shared" si="64"/>
        <v>52</v>
      </c>
      <c r="L392" s="24">
        <f t="shared" si="65"/>
        <v>55</v>
      </c>
      <c r="M392" t="s">
        <v>49</v>
      </c>
      <c r="N392" t="s">
        <v>50</v>
      </c>
      <c r="O392" s="24">
        <v>8</v>
      </c>
      <c r="P392" s="11">
        <v>506</v>
      </c>
      <c r="Q392" s="26">
        <f>VLOOKUP('Prepared Sales Dataset'!M392,'Product-cost'!A:B,2,FALSE)</f>
        <v>150</v>
      </c>
      <c r="R392" t="s">
        <v>42</v>
      </c>
      <c r="S392" t="s">
        <v>171</v>
      </c>
      <c r="T392" t="s">
        <v>103</v>
      </c>
      <c r="U392" t="s">
        <v>921</v>
      </c>
      <c r="V392" s="17">
        <f>P392*O392</f>
        <v>4048</v>
      </c>
      <c r="W392" s="19">
        <f>O392*Q392</f>
        <v>1200</v>
      </c>
      <c r="X392" s="13">
        <f>VLOOKUP(R392,Taxrate!A:B,2,FALSE)</f>
        <v>0.15</v>
      </c>
      <c r="Y392" s="15">
        <f t="shared" si="66"/>
        <v>607.19999999999993</v>
      </c>
      <c r="Z392" s="9">
        <f>VLOOKUP(M392,'Discount Rate'!A:B,2,FALSE)</f>
        <v>7.0000000000000007E-2</v>
      </c>
      <c r="AA392" s="11">
        <f t="shared" si="67"/>
        <v>283.36</v>
      </c>
      <c r="AB392" s="15">
        <f t="shared" si="68"/>
        <v>3157.44</v>
      </c>
      <c r="AC392" s="15">
        <f t="shared" si="69"/>
        <v>1957.44</v>
      </c>
    </row>
    <row r="393" spans="1:29" x14ac:dyDescent="0.35">
      <c r="A393" t="s">
        <v>834</v>
      </c>
      <c r="B393" t="s">
        <v>202</v>
      </c>
      <c r="C393" t="s">
        <v>67</v>
      </c>
      <c r="D393" t="s">
        <v>16</v>
      </c>
      <c r="E393" s="1">
        <v>45236</v>
      </c>
      <c r="F393" s="24">
        <f t="shared" si="60"/>
        <v>2023</v>
      </c>
      <c r="G393" s="24" t="str">
        <f t="shared" si="61"/>
        <v>November</v>
      </c>
      <c r="H393" s="24" t="str">
        <f t="shared" si="62"/>
        <v>Monday</v>
      </c>
      <c r="I393" s="22">
        <v>0.79443287037037036</v>
      </c>
      <c r="J393" s="24">
        <f t="shared" si="63"/>
        <v>19</v>
      </c>
      <c r="K393" s="24">
        <f t="shared" si="64"/>
        <v>3</v>
      </c>
      <c r="L393" s="24">
        <f t="shared" si="65"/>
        <v>59</v>
      </c>
      <c r="M393" t="s">
        <v>78</v>
      </c>
      <c r="N393" t="s">
        <v>79</v>
      </c>
      <c r="O393" s="24">
        <v>14</v>
      </c>
      <c r="P393" s="11">
        <v>193.1</v>
      </c>
      <c r="Q393" s="26">
        <f>VLOOKUP('Prepared Sales Dataset'!M393,'Product-cost'!A:B,2,FALSE)</f>
        <v>50</v>
      </c>
      <c r="R393" t="s">
        <v>59</v>
      </c>
      <c r="S393" t="s">
        <v>20</v>
      </c>
      <c r="T393" t="s">
        <v>166</v>
      </c>
      <c r="U393" t="s">
        <v>921</v>
      </c>
      <c r="V393" s="17">
        <f>P393*O393</f>
        <v>2703.4</v>
      </c>
      <c r="W393" s="19">
        <f>O393*Q393</f>
        <v>700</v>
      </c>
      <c r="X393" s="13">
        <f>VLOOKUP(R393,Taxrate!A:B,2,FALSE)</f>
        <v>0.12</v>
      </c>
      <c r="Y393" s="15">
        <f t="shared" si="66"/>
        <v>324.40800000000002</v>
      </c>
      <c r="Z393" s="9">
        <f>VLOOKUP(M393,'Discount Rate'!A:B,2,FALSE)</f>
        <v>0.03</v>
      </c>
      <c r="AA393" s="11">
        <f t="shared" si="67"/>
        <v>81.102000000000004</v>
      </c>
      <c r="AB393" s="15">
        <f t="shared" si="68"/>
        <v>2297.8900000000003</v>
      </c>
      <c r="AC393" s="15">
        <f t="shared" si="69"/>
        <v>1597.8900000000003</v>
      </c>
    </row>
    <row r="394" spans="1:29" x14ac:dyDescent="0.35">
      <c r="A394" t="s">
        <v>835</v>
      </c>
      <c r="B394" t="s">
        <v>325</v>
      </c>
      <c r="C394" t="s">
        <v>40</v>
      </c>
      <c r="D394" t="s">
        <v>41</v>
      </c>
      <c r="E394" s="1">
        <v>45525</v>
      </c>
      <c r="F394" s="24">
        <f t="shared" si="60"/>
        <v>2024</v>
      </c>
      <c r="G394" s="24" t="str">
        <f t="shared" si="61"/>
        <v>August</v>
      </c>
      <c r="H394" s="24" t="str">
        <f t="shared" si="62"/>
        <v>Wednesday</v>
      </c>
      <c r="I394" s="22">
        <v>0.85591435185185183</v>
      </c>
      <c r="J394" s="24">
        <f t="shared" si="63"/>
        <v>20</v>
      </c>
      <c r="K394" s="24">
        <f t="shared" si="64"/>
        <v>32</v>
      </c>
      <c r="L394" s="24">
        <f t="shared" si="65"/>
        <v>31</v>
      </c>
      <c r="M394" t="s">
        <v>17</v>
      </c>
      <c r="N394" t="s">
        <v>18</v>
      </c>
      <c r="O394" s="24">
        <v>6</v>
      </c>
      <c r="P394" s="11">
        <v>868.89</v>
      </c>
      <c r="Q394" s="26">
        <f>VLOOKUP('Prepared Sales Dataset'!M394,'Product-cost'!A:B,2,FALSE)</f>
        <v>600</v>
      </c>
      <c r="R394" t="s">
        <v>35</v>
      </c>
      <c r="S394" t="s">
        <v>90</v>
      </c>
      <c r="T394" t="s">
        <v>44</v>
      </c>
      <c r="U394" t="s">
        <v>921</v>
      </c>
      <c r="V394" s="17">
        <f>P394*O394</f>
        <v>5213.34</v>
      </c>
      <c r="W394" s="19">
        <f>O394*Q394</f>
        <v>3600</v>
      </c>
      <c r="X394" s="13">
        <f>VLOOKUP(R394,Taxrate!A:B,2,FALSE)</f>
        <v>0.2</v>
      </c>
      <c r="Y394" s="15">
        <f t="shared" si="66"/>
        <v>1042.6680000000001</v>
      </c>
      <c r="Z394" s="9">
        <f>VLOOKUP(M394,'Discount Rate'!A:B,2,FALSE)</f>
        <v>0.05</v>
      </c>
      <c r="AA394" s="11">
        <f t="shared" si="67"/>
        <v>260.66700000000003</v>
      </c>
      <c r="AB394" s="15">
        <f t="shared" si="68"/>
        <v>3910.0050000000001</v>
      </c>
      <c r="AC394" s="15">
        <f t="shared" si="69"/>
        <v>310.00500000000011</v>
      </c>
    </row>
    <row r="395" spans="1:29" x14ac:dyDescent="0.35">
      <c r="A395" t="s">
        <v>836</v>
      </c>
      <c r="B395" t="s">
        <v>764</v>
      </c>
      <c r="C395" t="s">
        <v>70</v>
      </c>
      <c r="D395" t="s">
        <v>71</v>
      </c>
      <c r="E395" s="1">
        <v>45689</v>
      </c>
      <c r="F395" s="24">
        <f t="shared" si="60"/>
        <v>2025</v>
      </c>
      <c r="G395" s="24" t="str">
        <f t="shared" si="61"/>
        <v>February</v>
      </c>
      <c r="H395" s="24" t="str">
        <f t="shared" si="62"/>
        <v>Saturday</v>
      </c>
      <c r="I395" s="22">
        <v>0.56993055555555561</v>
      </c>
      <c r="J395" s="24">
        <f t="shared" si="63"/>
        <v>13</v>
      </c>
      <c r="K395" s="24">
        <f t="shared" si="64"/>
        <v>40</v>
      </c>
      <c r="L395" s="24">
        <f t="shared" si="65"/>
        <v>42</v>
      </c>
      <c r="M395" t="s">
        <v>26</v>
      </c>
      <c r="N395" t="s">
        <v>27</v>
      </c>
      <c r="O395" s="24">
        <v>13</v>
      </c>
      <c r="P395" s="11">
        <v>716.16</v>
      </c>
      <c r="Q395" s="26">
        <f>VLOOKUP('Prepared Sales Dataset'!M395,'Product-cost'!A:B,2,FALSE)</f>
        <v>300</v>
      </c>
      <c r="R395" t="s">
        <v>35</v>
      </c>
      <c r="S395" t="s">
        <v>73</v>
      </c>
      <c r="T395" t="s">
        <v>95</v>
      </c>
      <c r="U395" t="s">
        <v>921</v>
      </c>
      <c r="V395" s="17">
        <f>P395*O395</f>
        <v>9310.08</v>
      </c>
      <c r="W395" s="19">
        <f>O395*Q395</f>
        <v>3900</v>
      </c>
      <c r="X395" s="13">
        <f>VLOOKUP(R395,Taxrate!A:B,2,FALSE)</f>
        <v>0.2</v>
      </c>
      <c r="Y395" s="15">
        <f t="shared" si="66"/>
        <v>1862.0160000000001</v>
      </c>
      <c r="Z395" s="9">
        <f>VLOOKUP(M395,'Discount Rate'!A:B,2,FALSE)</f>
        <v>0.1</v>
      </c>
      <c r="AA395" s="11">
        <f t="shared" si="67"/>
        <v>931.00800000000004</v>
      </c>
      <c r="AB395" s="15">
        <f t="shared" si="68"/>
        <v>6517.0559999999996</v>
      </c>
      <c r="AC395" s="15">
        <f t="shared" si="69"/>
        <v>2617.0559999999996</v>
      </c>
    </row>
    <row r="396" spans="1:29" x14ac:dyDescent="0.35">
      <c r="A396" t="s">
        <v>837</v>
      </c>
      <c r="B396" t="s">
        <v>838</v>
      </c>
      <c r="C396" t="s">
        <v>150</v>
      </c>
      <c r="D396" t="s">
        <v>25</v>
      </c>
      <c r="E396" s="1">
        <v>44947</v>
      </c>
      <c r="F396" s="24">
        <f t="shared" si="60"/>
        <v>2023</v>
      </c>
      <c r="G396" s="24" t="str">
        <f t="shared" si="61"/>
        <v>January</v>
      </c>
      <c r="H396" s="24" t="str">
        <f t="shared" si="62"/>
        <v>Saturday</v>
      </c>
      <c r="I396" s="22">
        <v>0.38981481481481484</v>
      </c>
      <c r="J396" s="24">
        <f t="shared" si="63"/>
        <v>9</v>
      </c>
      <c r="K396" s="24">
        <f t="shared" si="64"/>
        <v>21</v>
      </c>
      <c r="L396" s="24">
        <f t="shared" si="65"/>
        <v>20</v>
      </c>
      <c r="M396" t="s">
        <v>78</v>
      </c>
      <c r="N396" t="s">
        <v>79</v>
      </c>
      <c r="O396" s="24">
        <v>3</v>
      </c>
      <c r="P396" s="11">
        <v>149.49</v>
      </c>
      <c r="Q396" s="26">
        <f>VLOOKUP('Prepared Sales Dataset'!M396,'Product-cost'!A:B,2,FALSE)</f>
        <v>50</v>
      </c>
      <c r="R396" t="s">
        <v>55</v>
      </c>
      <c r="S396" t="s">
        <v>155</v>
      </c>
      <c r="T396" t="s">
        <v>166</v>
      </c>
      <c r="U396" t="s">
        <v>921</v>
      </c>
      <c r="V396" s="17">
        <f>P396*O396</f>
        <v>448.47</v>
      </c>
      <c r="W396" s="19">
        <f>O396*Q396</f>
        <v>150</v>
      </c>
      <c r="X396" s="13">
        <f>VLOOKUP(R396,Taxrate!A:B,2,FALSE)</f>
        <v>7.0000000000000007E-2</v>
      </c>
      <c r="Y396" s="15">
        <f t="shared" si="66"/>
        <v>31.392900000000004</v>
      </c>
      <c r="Z396" s="9">
        <f>VLOOKUP(M396,'Discount Rate'!A:B,2,FALSE)</f>
        <v>0.03</v>
      </c>
      <c r="AA396" s="11">
        <f t="shared" si="67"/>
        <v>13.4541</v>
      </c>
      <c r="AB396" s="15">
        <f t="shared" si="68"/>
        <v>403.62300000000005</v>
      </c>
      <c r="AC396" s="15">
        <f t="shared" si="69"/>
        <v>253.62300000000005</v>
      </c>
    </row>
    <row r="397" spans="1:29" x14ac:dyDescent="0.35">
      <c r="A397" t="s">
        <v>839</v>
      </c>
      <c r="B397" t="s">
        <v>840</v>
      </c>
      <c r="C397" t="s">
        <v>136</v>
      </c>
      <c r="D397" t="s">
        <v>25</v>
      </c>
      <c r="E397" s="1">
        <v>45785</v>
      </c>
      <c r="F397" s="24">
        <f t="shared" si="60"/>
        <v>2025</v>
      </c>
      <c r="G397" s="24" t="str">
        <f t="shared" si="61"/>
        <v>May</v>
      </c>
      <c r="H397" s="24" t="str">
        <f t="shared" si="62"/>
        <v>Thursday</v>
      </c>
      <c r="I397" s="22">
        <v>0.78096064814814814</v>
      </c>
      <c r="J397" s="24">
        <f t="shared" si="63"/>
        <v>18</v>
      </c>
      <c r="K397" s="24">
        <f t="shared" si="64"/>
        <v>44</v>
      </c>
      <c r="L397" s="24">
        <f t="shared" si="65"/>
        <v>35</v>
      </c>
      <c r="M397" t="s">
        <v>33</v>
      </c>
      <c r="N397" t="s">
        <v>34</v>
      </c>
      <c r="O397" s="24">
        <v>6</v>
      </c>
      <c r="P397" s="11">
        <v>321.58</v>
      </c>
      <c r="Q397" s="26">
        <f>VLOOKUP('Prepared Sales Dataset'!M397,'Product-cost'!A:B,2,FALSE)</f>
        <v>200</v>
      </c>
      <c r="R397" t="s">
        <v>28</v>
      </c>
      <c r="S397" t="s">
        <v>56</v>
      </c>
      <c r="T397" t="s">
        <v>142</v>
      </c>
      <c r="U397" t="s">
        <v>921</v>
      </c>
      <c r="V397" s="17">
        <f>P397*O397</f>
        <v>1929.48</v>
      </c>
      <c r="W397" s="19">
        <f>O397*Q397</f>
        <v>1200</v>
      </c>
      <c r="X397" s="13">
        <f>VLOOKUP(R397,Taxrate!A:B,2,FALSE)</f>
        <v>0.1</v>
      </c>
      <c r="Y397" s="15">
        <f t="shared" si="66"/>
        <v>192.94800000000001</v>
      </c>
      <c r="Z397" s="9">
        <f>VLOOKUP(M397,'Discount Rate'!A:B,2,FALSE)</f>
        <v>0.08</v>
      </c>
      <c r="AA397" s="11">
        <f t="shared" si="67"/>
        <v>154.35840000000002</v>
      </c>
      <c r="AB397" s="15">
        <f t="shared" si="68"/>
        <v>1582.1736000000001</v>
      </c>
      <c r="AC397" s="15">
        <f t="shared" si="69"/>
        <v>382.17360000000008</v>
      </c>
    </row>
    <row r="398" spans="1:29" x14ac:dyDescent="0.35">
      <c r="A398" t="s">
        <v>841</v>
      </c>
      <c r="B398" t="s">
        <v>598</v>
      </c>
      <c r="C398" t="s">
        <v>98</v>
      </c>
      <c r="D398" t="s">
        <v>99</v>
      </c>
      <c r="E398" s="1">
        <v>45832</v>
      </c>
      <c r="F398" s="24">
        <f t="shared" si="60"/>
        <v>2025</v>
      </c>
      <c r="G398" s="24" t="str">
        <f t="shared" si="61"/>
        <v>June</v>
      </c>
      <c r="H398" s="24" t="str">
        <f t="shared" si="62"/>
        <v>Tuesday</v>
      </c>
      <c r="I398" s="22">
        <v>0.86853009259259262</v>
      </c>
      <c r="J398" s="24">
        <f t="shared" si="63"/>
        <v>20</v>
      </c>
      <c r="K398" s="24">
        <f t="shared" si="64"/>
        <v>50</v>
      </c>
      <c r="L398" s="24">
        <f t="shared" si="65"/>
        <v>41</v>
      </c>
      <c r="M398" t="s">
        <v>78</v>
      </c>
      <c r="N398" t="s">
        <v>79</v>
      </c>
      <c r="O398" s="24">
        <v>15</v>
      </c>
      <c r="P398" s="11">
        <v>122.77</v>
      </c>
      <c r="Q398" s="26">
        <f>VLOOKUP('Prepared Sales Dataset'!M398,'Product-cost'!A:B,2,FALSE)</f>
        <v>50</v>
      </c>
      <c r="R398" t="s">
        <v>28</v>
      </c>
      <c r="S398" t="s">
        <v>100</v>
      </c>
      <c r="T398" t="s">
        <v>172</v>
      </c>
      <c r="U398" t="s">
        <v>921</v>
      </c>
      <c r="V398" s="17">
        <f>P398*O398</f>
        <v>1841.55</v>
      </c>
      <c r="W398" s="19">
        <f>O398*Q398</f>
        <v>750</v>
      </c>
      <c r="X398" s="13">
        <f>VLOOKUP(R398,Taxrate!A:B,2,FALSE)</f>
        <v>0.1</v>
      </c>
      <c r="Y398" s="15">
        <f t="shared" si="66"/>
        <v>184.155</v>
      </c>
      <c r="Z398" s="9">
        <f>VLOOKUP(M398,'Discount Rate'!A:B,2,FALSE)</f>
        <v>0.03</v>
      </c>
      <c r="AA398" s="11">
        <f t="shared" si="67"/>
        <v>55.246499999999997</v>
      </c>
      <c r="AB398" s="15">
        <f t="shared" si="68"/>
        <v>1602.1485</v>
      </c>
      <c r="AC398" s="15">
        <f t="shared" si="69"/>
        <v>852.14850000000001</v>
      </c>
    </row>
    <row r="399" spans="1:29" x14ac:dyDescent="0.35">
      <c r="A399" t="s">
        <v>842</v>
      </c>
      <c r="B399" t="s">
        <v>374</v>
      </c>
      <c r="C399" t="s">
        <v>128</v>
      </c>
      <c r="D399" t="s">
        <v>63</v>
      </c>
      <c r="E399" s="1">
        <v>46228</v>
      </c>
      <c r="F399" s="24">
        <f t="shared" si="60"/>
        <v>2026</v>
      </c>
      <c r="G399" s="24" t="str">
        <f t="shared" si="61"/>
        <v>July</v>
      </c>
      <c r="H399" s="24" t="str">
        <f t="shared" si="62"/>
        <v>Saturday</v>
      </c>
      <c r="I399" s="22">
        <v>0.33467592592592593</v>
      </c>
      <c r="J399" s="24">
        <f t="shared" si="63"/>
        <v>8</v>
      </c>
      <c r="K399" s="24">
        <f t="shared" si="64"/>
        <v>1</v>
      </c>
      <c r="L399" s="24">
        <f t="shared" si="65"/>
        <v>56</v>
      </c>
      <c r="M399" t="s">
        <v>49</v>
      </c>
      <c r="N399" t="s">
        <v>50</v>
      </c>
      <c r="O399" s="24">
        <v>4</v>
      </c>
      <c r="P399" s="11">
        <v>209.43</v>
      </c>
      <c r="Q399" s="26">
        <f>VLOOKUP('Prepared Sales Dataset'!M399,'Product-cost'!A:B,2,FALSE)</f>
        <v>150</v>
      </c>
      <c r="R399" t="s">
        <v>42</v>
      </c>
      <c r="S399" t="s">
        <v>64</v>
      </c>
      <c r="T399" t="s">
        <v>30</v>
      </c>
      <c r="U399" t="s">
        <v>921</v>
      </c>
      <c r="V399" s="17">
        <f>P399*O399</f>
        <v>837.72</v>
      </c>
      <c r="W399" s="19">
        <f>O399*Q399</f>
        <v>600</v>
      </c>
      <c r="X399" s="13">
        <f>VLOOKUP(R399,Taxrate!A:B,2,FALSE)</f>
        <v>0.15</v>
      </c>
      <c r="Y399" s="15">
        <f t="shared" si="66"/>
        <v>125.658</v>
      </c>
      <c r="Z399" s="9">
        <f>VLOOKUP(M399,'Discount Rate'!A:B,2,FALSE)</f>
        <v>7.0000000000000007E-2</v>
      </c>
      <c r="AA399" s="11">
        <f t="shared" si="67"/>
        <v>58.640400000000007</v>
      </c>
      <c r="AB399" s="15">
        <f t="shared" si="68"/>
        <v>653.42160000000001</v>
      </c>
      <c r="AC399" s="15">
        <f t="shared" si="69"/>
        <v>53.421600000000012</v>
      </c>
    </row>
    <row r="400" spans="1:29" x14ac:dyDescent="0.35">
      <c r="A400" t="s">
        <v>843</v>
      </c>
      <c r="B400" t="s">
        <v>844</v>
      </c>
      <c r="C400" t="s">
        <v>15</v>
      </c>
      <c r="D400" t="s">
        <v>16</v>
      </c>
      <c r="E400" s="1">
        <v>45537</v>
      </c>
      <c r="F400" s="24">
        <f t="shared" si="60"/>
        <v>2024</v>
      </c>
      <c r="G400" s="24" t="str">
        <f t="shared" si="61"/>
        <v>September</v>
      </c>
      <c r="H400" s="24" t="str">
        <f t="shared" si="62"/>
        <v>Monday</v>
      </c>
      <c r="I400" s="22">
        <v>0.63975694444444442</v>
      </c>
      <c r="J400" s="24">
        <f t="shared" si="63"/>
        <v>15</v>
      </c>
      <c r="K400" s="24">
        <f t="shared" si="64"/>
        <v>21</v>
      </c>
      <c r="L400" s="24">
        <f t="shared" si="65"/>
        <v>15</v>
      </c>
      <c r="M400" t="s">
        <v>49</v>
      </c>
      <c r="N400" t="s">
        <v>50</v>
      </c>
      <c r="O400" s="24">
        <v>15</v>
      </c>
      <c r="P400" s="11">
        <v>249.21</v>
      </c>
      <c r="Q400" s="26">
        <f>VLOOKUP('Prepared Sales Dataset'!M400,'Product-cost'!A:B,2,FALSE)</f>
        <v>150</v>
      </c>
      <c r="R400" t="s">
        <v>59</v>
      </c>
      <c r="S400" t="s">
        <v>36</v>
      </c>
      <c r="T400" t="s">
        <v>109</v>
      </c>
      <c r="U400" t="s">
        <v>923</v>
      </c>
      <c r="V400" s="17">
        <f>P400*O400</f>
        <v>3738.15</v>
      </c>
      <c r="W400" s="19">
        <f>O400*Q400</f>
        <v>2250</v>
      </c>
      <c r="X400" s="13">
        <f>VLOOKUP(R400,Taxrate!A:B,2,FALSE)</f>
        <v>0.12</v>
      </c>
      <c r="Y400" s="15">
        <f t="shared" si="66"/>
        <v>448.57799999999997</v>
      </c>
      <c r="Z400" s="9">
        <f>VLOOKUP(M400,'Discount Rate'!A:B,2,FALSE)</f>
        <v>7.0000000000000007E-2</v>
      </c>
      <c r="AA400" s="11">
        <f t="shared" si="67"/>
        <v>261.6705</v>
      </c>
      <c r="AB400" s="15">
        <f t="shared" si="68"/>
        <v>3027.9014999999999</v>
      </c>
      <c r="AC400" s="15">
        <f t="shared" si="69"/>
        <v>777.90149999999994</v>
      </c>
    </row>
    <row r="401" spans="1:29" x14ac:dyDescent="0.35">
      <c r="A401" t="s">
        <v>845</v>
      </c>
      <c r="B401" t="s">
        <v>215</v>
      </c>
      <c r="C401" t="s">
        <v>136</v>
      </c>
      <c r="D401" t="s">
        <v>25</v>
      </c>
      <c r="E401" s="1">
        <v>45666</v>
      </c>
      <c r="F401" s="24">
        <f t="shared" si="60"/>
        <v>2025</v>
      </c>
      <c r="G401" s="24" t="str">
        <f t="shared" si="61"/>
        <v>January</v>
      </c>
      <c r="H401" s="24" t="str">
        <f t="shared" si="62"/>
        <v>Thursday</v>
      </c>
      <c r="I401" s="22">
        <v>0.38177083333333334</v>
      </c>
      <c r="J401" s="24">
        <f t="shared" si="63"/>
        <v>9</v>
      </c>
      <c r="K401" s="24">
        <f t="shared" si="64"/>
        <v>9</v>
      </c>
      <c r="L401" s="24">
        <f t="shared" si="65"/>
        <v>45</v>
      </c>
      <c r="M401" t="s">
        <v>78</v>
      </c>
      <c r="N401" t="s">
        <v>79</v>
      </c>
      <c r="O401" s="24">
        <v>2</v>
      </c>
      <c r="P401" s="11">
        <v>506</v>
      </c>
      <c r="Q401" s="26">
        <f>VLOOKUP('Prepared Sales Dataset'!M401,'Product-cost'!A:B,2,FALSE)</f>
        <v>50</v>
      </c>
      <c r="R401" t="s">
        <v>42</v>
      </c>
      <c r="S401" t="s">
        <v>29</v>
      </c>
      <c r="T401" t="s">
        <v>30</v>
      </c>
      <c r="U401" t="s">
        <v>921</v>
      </c>
      <c r="V401" s="17">
        <f>P401*O401</f>
        <v>1012</v>
      </c>
      <c r="W401" s="19">
        <f>O401*Q401</f>
        <v>100</v>
      </c>
      <c r="X401" s="13">
        <f>VLOOKUP(R401,Taxrate!A:B,2,FALSE)</f>
        <v>0.15</v>
      </c>
      <c r="Y401" s="15">
        <f t="shared" si="66"/>
        <v>151.79999999999998</v>
      </c>
      <c r="Z401" s="9">
        <f>VLOOKUP(M401,'Discount Rate'!A:B,2,FALSE)</f>
        <v>0.03</v>
      </c>
      <c r="AA401" s="11">
        <f t="shared" si="67"/>
        <v>30.36</v>
      </c>
      <c r="AB401" s="15">
        <f t="shared" si="68"/>
        <v>829.84</v>
      </c>
      <c r="AC401" s="15">
        <f t="shared" si="69"/>
        <v>729.84</v>
      </c>
    </row>
    <row r="402" spans="1:29" x14ac:dyDescent="0.35">
      <c r="A402" t="s">
        <v>846</v>
      </c>
      <c r="B402" t="s">
        <v>847</v>
      </c>
      <c r="C402" t="s">
        <v>169</v>
      </c>
      <c r="D402" t="s">
        <v>170</v>
      </c>
      <c r="E402" s="1">
        <v>46123</v>
      </c>
      <c r="F402" s="24">
        <f t="shared" si="60"/>
        <v>2026</v>
      </c>
      <c r="G402" s="24" t="str">
        <f t="shared" si="61"/>
        <v>April</v>
      </c>
      <c r="H402" s="24" t="str">
        <f t="shared" si="62"/>
        <v>Saturday</v>
      </c>
      <c r="I402" s="22">
        <v>0.76907407407407402</v>
      </c>
      <c r="J402" s="24">
        <f t="shared" si="63"/>
        <v>18</v>
      </c>
      <c r="K402" s="24">
        <f t="shared" si="64"/>
        <v>27</v>
      </c>
      <c r="L402" s="24">
        <f t="shared" si="65"/>
        <v>28</v>
      </c>
      <c r="M402" t="s">
        <v>78</v>
      </c>
      <c r="N402" t="s">
        <v>79</v>
      </c>
      <c r="O402" s="24">
        <v>7</v>
      </c>
      <c r="P402" s="11">
        <v>130.83000000000001</v>
      </c>
      <c r="Q402" s="26">
        <f>VLOOKUP('Prepared Sales Dataset'!M402,'Product-cost'!A:B,2,FALSE)</f>
        <v>50</v>
      </c>
      <c r="R402" t="s">
        <v>35</v>
      </c>
      <c r="S402" t="s">
        <v>171</v>
      </c>
      <c r="T402" t="s">
        <v>172</v>
      </c>
      <c r="U402" t="s">
        <v>921</v>
      </c>
      <c r="V402" s="17">
        <f>P402*O402</f>
        <v>915.81000000000006</v>
      </c>
      <c r="W402" s="19">
        <f>O402*Q402</f>
        <v>350</v>
      </c>
      <c r="X402" s="13">
        <f>VLOOKUP(R402,Taxrate!A:B,2,FALSE)</f>
        <v>0.2</v>
      </c>
      <c r="Y402" s="15">
        <f t="shared" si="66"/>
        <v>183.16200000000003</v>
      </c>
      <c r="Z402" s="9">
        <f>VLOOKUP(M402,'Discount Rate'!A:B,2,FALSE)</f>
        <v>0.03</v>
      </c>
      <c r="AA402" s="11">
        <f t="shared" si="67"/>
        <v>27.474299999999999</v>
      </c>
      <c r="AB402" s="15">
        <f t="shared" si="68"/>
        <v>705.17370000000005</v>
      </c>
      <c r="AC402" s="15">
        <f t="shared" si="69"/>
        <v>355.17370000000005</v>
      </c>
    </row>
    <row r="403" spans="1:29" x14ac:dyDescent="0.35">
      <c r="A403" t="s">
        <v>848</v>
      </c>
      <c r="B403" t="s">
        <v>849</v>
      </c>
      <c r="C403" t="s">
        <v>47</v>
      </c>
      <c r="D403" t="s">
        <v>48</v>
      </c>
      <c r="E403" s="1">
        <v>45248</v>
      </c>
      <c r="F403" s="24">
        <f t="shared" si="60"/>
        <v>2023</v>
      </c>
      <c r="G403" s="24" t="str">
        <f t="shared" si="61"/>
        <v>November</v>
      </c>
      <c r="H403" s="24" t="str">
        <f t="shared" si="62"/>
        <v>Saturday</v>
      </c>
      <c r="I403" s="22">
        <v>0.40201388888888889</v>
      </c>
      <c r="J403" s="24">
        <f t="shared" si="63"/>
        <v>9</v>
      </c>
      <c r="K403" s="24">
        <f t="shared" si="64"/>
        <v>38</v>
      </c>
      <c r="L403" s="24">
        <f t="shared" si="65"/>
        <v>54</v>
      </c>
      <c r="M403" t="s">
        <v>78</v>
      </c>
      <c r="N403" t="s">
        <v>79</v>
      </c>
      <c r="O403" s="24">
        <v>6</v>
      </c>
      <c r="P403" s="11">
        <v>123.02</v>
      </c>
      <c r="Q403" s="26">
        <f>VLOOKUP('Prepared Sales Dataset'!M403,'Product-cost'!A:B,2,FALSE)</f>
        <v>50</v>
      </c>
      <c r="R403" t="s">
        <v>35</v>
      </c>
      <c r="S403" t="s">
        <v>94</v>
      </c>
      <c r="T403" t="s">
        <v>95</v>
      </c>
      <c r="U403" t="s">
        <v>921</v>
      </c>
      <c r="V403" s="17">
        <f>P403*O403</f>
        <v>738.12</v>
      </c>
      <c r="W403" s="19">
        <f>O403*Q403</f>
        <v>300</v>
      </c>
      <c r="X403" s="13">
        <f>VLOOKUP(R403,Taxrate!A:B,2,FALSE)</f>
        <v>0.2</v>
      </c>
      <c r="Y403" s="15">
        <f t="shared" si="66"/>
        <v>147.624</v>
      </c>
      <c r="Z403" s="9">
        <f>VLOOKUP(M403,'Discount Rate'!A:B,2,FALSE)</f>
        <v>0.03</v>
      </c>
      <c r="AA403" s="11">
        <f t="shared" si="67"/>
        <v>22.143599999999999</v>
      </c>
      <c r="AB403" s="15">
        <f t="shared" si="68"/>
        <v>568.35239999999999</v>
      </c>
      <c r="AC403" s="15">
        <f t="shared" si="69"/>
        <v>268.35239999999999</v>
      </c>
    </row>
    <row r="404" spans="1:29" x14ac:dyDescent="0.35">
      <c r="A404" t="s">
        <v>850</v>
      </c>
      <c r="B404" t="s">
        <v>398</v>
      </c>
      <c r="C404" t="s">
        <v>106</v>
      </c>
      <c r="D404" t="s">
        <v>107</v>
      </c>
      <c r="E404" s="1">
        <v>45551</v>
      </c>
      <c r="F404" s="24">
        <f t="shared" si="60"/>
        <v>2024</v>
      </c>
      <c r="G404" s="24" t="str">
        <f t="shared" si="61"/>
        <v>September</v>
      </c>
      <c r="H404" s="24" t="str">
        <f t="shared" si="62"/>
        <v>Monday</v>
      </c>
      <c r="I404" s="22">
        <v>0.46657407407407409</v>
      </c>
      <c r="J404" s="24">
        <f t="shared" si="63"/>
        <v>11</v>
      </c>
      <c r="K404" s="24">
        <f t="shared" si="64"/>
        <v>11</v>
      </c>
      <c r="L404" s="24">
        <f t="shared" si="65"/>
        <v>52</v>
      </c>
      <c r="M404" t="s">
        <v>78</v>
      </c>
      <c r="N404" t="s">
        <v>79</v>
      </c>
      <c r="O404" s="24">
        <v>8</v>
      </c>
      <c r="P404" s="11">
        <v>125.07</v>
      </c>
      <c r="Q404" s="26">
        <f>VLOOKUP('Prepared Sales Dataset'!M404,'Product-cost'!A:B,2,FALSE)</f>
        <v>50</v>
      </c>
      <c r="R404" t="s">
        <v>55</v>
      </c>
      <c r="S404" t="s">
        <v>112</v>
      </c>
      <c r="T404" t="s">
        <v>133</v>
      </c>
      <c r="U404" t="s">
        <v>921</v>
      </c>
      <c r="V404" s="17">
        <f>P404*O404</f>
        <v>1000.56</v>
      </c>
      <c r="W404" s="19">
        <f>O404*Q404</f>
        <v>400</v>
      </c>
      <c r="X404" s="13">
        <f>VLOOKUP(R404,Taxrate!A:B,2,FALSE)</f>
        <v>7.0000000000000007E-2</v>
      </c>
      <c r="Y404" s="15">
        <f t="shared" si="66"/>
        <v>70.039200000000008</v>
      </c>
      <c r="Z404" s="9">
        <f>VLOOKUP(M404,'Discount Rate'!A:B,2,FALSE)</f>
        <v>0.03</v>
      </c>
      <c r="AA404" s="11">
        <f t="shared" si="67"/>
        <v>30.016799999999996</v>
      </c>
      <c r="AB404" s="15">
        <f t="shared" si="68"/>
        <v>900.50399999999991</v>
      </c>
      <c r="AC404" s="15">
        <f t="shared" si="69"/>
        <v>500.50399999999991</v>
      </c>
    </row>
    <row r="405" spans="1:29" x14ac:dyDescent="0.35">
      <c r="A405" t="s">
        <v>851</v>
      </c>
      <c r="B405" t="s">
        <v>852</v>
      </c>
      <c r="C405" t="s">
        <v>139</v>
      </c>
      <c r="D405" t="s">
        <v>25</v>
      </c>
      <c r="E405" s="1">
        <v>45960</v>
      </c>
      <c r="F405" s="24">
        <f t="shared" si="60"/>
        <v>2025</v>
      </c>
      <c r="G405" s="24" t="str">
        <f t="shared" si="61"/>
        <v>October</v>
      </c>
      <c r="H405" s="24" t="str">
        <f t="shared" si="62"/>
        <v>Thursday</v>
      </c>
      <c r="I405" s="22">
        <v>0.85326388888888893</v>
      </c>
      <c r="J405" s="24">
        <f t="shared" si="63"/>
        <v>20</v>
      </c>
      <c r="K405" s="24">
        <f t="shared" si="64"/>
        <v>28</v>
      </c>
      <c r="L405" s="24">
        <f t="shared" si="65"/>
        <v>42</v>
      </c>
      <c r="M405" t="s">
        <v>78</v>
      </c>
      <c r="N405" t="s">
        <v>79</v>
      </c>
      <c r="O405" s="24">
        <v>12</v>
      </c>
      <c r="P405" s="11">
        <v>179.99</v>
      </c>
      <c r="Q405" s="26">
        <f>VLOOKUP('Prepared Sales Dataset'!M405,'Product-cost'!A:B,2,FALSE)</f>
        <v>50</v>
      </c>
      <c r="R405" t="s">
        <v>59</v>
      </c>
      <c r="S405" t="s">
        <v>56</v>
      </c>
      <c r="T405" t="s">
        <v>166</v>
      </c>
      <c r="U405" t="s">
        <v>921</v>
      </c>
      <c r="V405" s="17">
        <f>P405*O405</f>
        <v>2159.88</v>
      </c>
      <c r="W405" s="19">
        <f>O405*Q405</f>
        <v>600</v>
      </c>
      <c r="X405" s="13">
        <f>VLOOKUP(R405,Taxrate!A:B,2,FALSE)</f>
        <v>0.12</v>
      </c>
      <c r="Y405" s="15">
        <f t="shared" si="66"/>
        <v>259.18560000000002</v>
      </c>
      <c r="Z405" s="9">
        <f>VLOOKUP(M405,'Discount Rate'!A:B,2,FALSE)</f>
        <v>0.03</v>
      </c>
      <c r="AA405" s="11">
        <f t="shared" si="67"/>
        <v>64.796400000000006</v>
      </c>
      <c r="AB405" s="15">
        <f t="shared" si="68"/>
        <v>1835.8980000000001</v>
      </c>
      <c r="AC405" s="15">
        <f t="shared" si="69"/>
        <v>1235.8980000000001</v>
      </c>
    </row>
    <row r="406" spans="1:29" x14ac:dyDescent="0.35">
      <c r="A406" t="s">
        <v>853</v>
      </c>
      <c r="B406" t="s">
        <v>854</v>
      </c>
      <c r="C406" t="s">
        <v>70</v>
      </c>
      <c r="D406" t="s">
        <v>71</v>
      </c>
      <c r="E406" s="1">
        <v>46375</v>
      </c>
      <c r="F406" s="24">
        <f t="shared" si="60"/>
        <v>2026</v>
      </c>
      <c r="G406" s="24" t="str">
        <f t="shared" si="61"/>
        <v>December</v>
      </c>
      <c r="H406" s="24" t="str">
        <f t="shared" si="62"/>
        <v>Saturday</v>
      </c>
      <c r="I406" s="22">
        <v>0.73668981481481477</v>
      </c>
      <c r="J406" s="24">
        <f t="shared" si="63"/>
        <v>17</v>
      </c>
      <c r="K406" s="24">
        <f t="shared" si="64"/>
        <v>40</v>
      </c>
      <c r="L406" s="24">
        <f t="shared" si="65"/>
        <v>50</v>
      </c>
      <c r="M406" t="s">
        <v>33</v>
      </c>
      <c r="N406" t="s">
        <v>34</v>
      </c>
      <c r="O406" s="24">
        <v>2</v>
      </c>
      <c r="P406" s="11">
        <v>337.03</v>
      </c>
      <c r="Q406" s="26">
        <f>VLOOKUP('Prepared Sales Dataset'!M406,'Product-cost'!A:B,2,FALSE)</f>
        <v>200</v>
      </c>
      <c r="R406" t="s">
        <v>59</v>
      </c>
      <c r="S406" t="s">
        <v>190</v>
      </c>
      <c r="T406" t="s">
        <v>172</v>
      </c>
      <c r="U406" t="s">
        <v>921</v>
      </c>
      <c r="V406" s="17">
        <f>P406*O406</f>
        <v>674.06</v>
      </c>
      <c r="W406" s="19">
        <f>O406*Q406</f>
        <v>400</v>
      </c>
      <c r="X406" s="13">
        <f>VLOOKUP(R406,Taxrate!A:B,2,FALSE)</f>
        <v>0.12</v>
      </c>
      <c r="Y406" s="15">
        <f t="shared" si="66"/>
        <v>80.887199999999993</v>
      </c>
      <c r="Z406" s="9">
        <f>VLOOKUP(M406,'Discount Rate'!A:B,2,FALSE)</f>
        <v>0.08</v>
      </c>
      <c r="AA406" s="11">
        <f t="shared" si="67"/>
        <v>53.924799999999998</v>
      </c>
      <c r="AB406" s="15">
        <f t="shared" si="68"/>
        <v>539.24799999999993</v>
      </c>
      <c r="AC406" s="15">
        <f t="shared" si="69"/>
        <v>139.24799999999993</v>
      </c>
    </row>
    <row r="407" spans="1:29" x14ac:dyDescent="0.35">
      <c r="A407" t="s">
        <v>855</v>
      </c>
      <c r="B407" t="s">
        <v>856</v>
      </c>
      <c r="C407" t="s">
        <v>67</v>
      </c>
      <c r="D407" t="s">
        <v>16</v>
      </c>
      <c r="E407" s="1">
        <v>44965</v>
      </c>
      <c r="F407" s="24">
        <f t="shared" si="60"/>
        <v>2023</v>
      </c>
      <c r="G407" s="24" t="str">
        <f t="shared" si="61"/>
        <v>February</v>
      </c>
      <c r="H407" s="24" t="str">
        <f t="shared" si="62"/>
        <v>Wednesday</v>
      </c>
      <c r="I407" s="22">
        <v>0.84253472222222225</v>
      </c>
      <c r="J407" s="24">
        <f t="shared" si="63"/>
        <v>20</v>
      </c>
      <c r="K407" s="24">
        <f t="shared" si="64"/>
        <v>13</v>
      </c>
      <c r="L407" s="24">
        <f t="shared" si="65"/>
        <v>15</v>
      </c>
      <c r="M407" t="s">
        <v>49</v>
      </c>
      <c r="N407" t="s">
        <v>50</v>
      </c>
      <c r="O407" s="24">
        <v>13</v>
      </c>
      <c r="P407" s="11">
        <v>211.25</v>
      </c>
      <c r="Q407" s="26">
        <f>VLOOKUP('Prepared Sales Dataset'!M407,'Product-cost'!A:B,2,FALSE)</f>
        <v>150</v>
      </c>
      <c r="R407" t="s">
        <v>59</v>
      </c>
      <c r="S407" t="s">
        <v>36</v>
      </c>
      <c r="T407" t="s">
        <v>231</v>
      </c>
      <c r="U407" t="s">
        <v>922</v>
      </c>
      <c r="V407" s="17">
        <f>P407*O407</f>
        <v>2746.25</v>
      </c>
      <c r="W407" s="19">
        <f>O407*Q407</f>
        <v>1950</v>
      </c>
      <c r="X407" s="13">
        <f>VLOOKUP(R407,Taxrate!A:B,2,FALSE)</f>
        <v>0.12</v>
      </c>
      <c r="Y407" s="15">
        <f t="shared" si="66"/>
        <v>329.55</v>
      </c>
      <c r="Z407" s="9">
        <f>VLOOKUP(M407,'Discount Rate'!A:B,2,FALSE)</f>
        <v>7.0000000000000007E-2</v>
      </c>
      <c r="AA407" s="11">
        <f t="shared" si="67"/>
        <v>192.23750000000001</v>
      </c>
      <c r="AB407" s="15">
        <f t="shared" si="68"/>
        <v>2224.4625000000001</v>
      </c>
      <c r="AC407" s="15">
        <f t="shared" si="69"/>
        <v>274.46250000000009</v>
      </c>
    </row>
    <row r="408" spans="1:29" x14ac:dyDescent="0.35">
      <c r="A408" t="s">
        <v>858</v>
      </c>
      <c r="B408" t="s">
        <v>859</v>
      </c>
      <c r="C408" t="s">
        <v>205</v>
      </c>
      <c r="D408" t="s">
        <v>170</v>
      </c>
      <c r="E408" s="1">
        <v>45161</v>
      </c>
      <c r="F408" s="24">
        <f t="shared" si="60"/>
        <v>2023</v>
      </c>
      <c r="G408" s="24" t="str">
        <f t="shared" si="61"/>
        <v>August</v>
      </c>
      <c r="H408" s="24" t="str">
        <f t="shared" si="62"/>
        <v>Wednesday</v>
      </c>
      <c r="I408" s="22">
        <v>0.67381944444444442</v>
      </c>
      <c r="J408" s="24">
        <f t="shared" si="63"/>
        <v>16</v>
      </c>
      <c r="K408" s="24">
        <f t="shared" si="64"/>
        <v>10</v>
      </c>
      <c r="L408" s="24">
        <f t="shared" si="65"/>
        <v>18</v>
      </c>
      <c r="M408" t="s">
        <v>26</v>
      </c>
      <c r="N408" t="s">
        <v>27</v>
      </c>
      <c r="O408" s="24">
        <v>13</v>
      </c>
      <c r="P408" s="11">
        <v>506</v>
      </c>
      <c r="Q408" s="26">
        <f>VLOOKUP('Prepared Sales Dataset'!M408,'Product-cost'!A:B,2,FALSE)</f>
        <v>300</v>
      </c>
      <c r="R408" t="s">
        <v>28</v>
      </c>
      <c r="S408" t="s">
        <v>272</v>
      </c>
      <c r="T408" t="s">
        <v>133</v>
      </c>
      <c r="U408" t="s">
        <v>921</v>
      </c>
      <c r="V408" s="17">
        <f>P408*O408</f>
        <v>6578</v>
      </c>
      <c r="W408" s="19">
        <f>O408*Q408</f>
        <v>3900</v>
      </c>
      <c r="X408" s="13">
        <f>VLOOKUP(R408,Taxrate!A:B,2,FALSE)</f>
        <v>0.1</v>
      </c>
      <c r="Y408" s="15">
        <f t="shared" si="66"/>
        <v>657.80000000000007</v>
      </c>
      <c r="Z408" s="9">
        <f>VLOOKUP(M408,'Discount Rate'!A:B,2,FALSE)</f>
        <v>0.1</v>
      </c>
      <c r="AA408" s="11">
        <f t="shared" si="67"/>
        <v>657.80000000000007</v>
      </c>
      <c r="AB408" s="15">
        <f t="shared" si="68"/>
        <v>5262.4</v>
      </c>
      <c r="AC408" s="15">
        <f t="shared" si="69"/>
        <v>1362.3999999999996</v>
      </c>
    </row>
    <row r="409" spans="1:29" x14ac:dyDescent="0.35">
      <c r="A409" t="s">
        <v>860</v>
      </c>
      <c r="B409" t="s">
        <v>604</v>
      </c>
      <c r="C409" t="s">
        <v>88</v>
      </c>
      <c r="D409" t="s">
        <v>41</v>
      </c>
      <c r="E409" s="1">
        <v>45772</v>
      </c>
      <c r="F409" s="24">
        <f t="shared" si="60"/>
        <v>2025</v>
      </c>
      <c r="G409" s="24" t="str">
        <f t="shared" si="61"/>
        <v>April</v>
      </c>
      <c r="H409" s="24" t="str">
        <f t="shared" si="62"/>
        <v>Friday</v>
      </c>
      <c r="I409" s="22">
        <v>0.51726851851851852</v>
      </c>
      <c r="J409" s="24">
        <f t="shared" si="63"/>
        <v>12</v>
      </c>
      <c r="K409" s="24">
        <f t="shared" si="64"/>
        <v>24</v>
      </c>
      <c r="L409" s="24">
        <f t="shared" si="65"/>
        <v>52</v>
      </c>
      <c r="M409" t="s">
        <v>17</v>
      </c>
      <c r="N409" t="s">
        <v>18</v>
      </c>
      <c r="O409" s="24">
        <v>8</v>
      </c>
      <c r="P409" s="11">
        <v>1098.5</v>
      </c>
      <c r="Q409" s="26">
        <f>VLOOKUP('Prepared Sales Dataset'!M409,'Product-cost'!A:B,2,FALSE)</f>
        <v>600</v>
      </c>
      <c r="R409" t="s">
        <v>35</v>
      </c>
      <c r="S409" t="s">
        <v>90</v>
      </c>
      <c r="T409" t="s">
        <v>37</v>
      </c>
      <c r="U409" t="s">
        <v>921</v>
      </c>
      <c r="V409" s="17">
        <f>P409*O409</f>
        <v>8788</v>
      </c>
      <c r="W409" s="19">
        <f>O409*Q409</f>
        <v>4800</v>
      </c>
      <c r="X409" s="13">
        <f>VLOOKUP(R409,Taxrate!A:B,2,FALSE)</f>
        <v>0.2</v>
      </c>
      <c r="Y409" s="15">
        <f t="shared" si="66"/>
        <v>1757.6000000000001</v>
      </c>
      <c r="Z409" s="9">
        <f>VLOOKUP(M409,'Discount Rate'!A:B,2,FALSE)</f>
        <v>0.05</v>
      </c>
      <c r="AA409" s="11">
        <f t="shared" si="67"/>
        <v>439.40000000000003</v>
      </c>
      <c r="AB409" s="15">
        <f t="shared" si="68"/>
        <v>6591</v>
      </c>
      <c r="AC409" s="15">
        <f t="shared" si="69"/>
        <v>1791</v>
      </c>
    </row>
    <row r="410" spans="1:29" x14ac:dyDescent="0.35">
      <c r="A410" t="s">
        <v>861</v>
      </c>
      <c r="B410" t="s">
        <v>862</v>
      </c>
      <c r="C410" t="s">
        <v>77</v>
      </c>
      <c r="D410" t="s">
        <v>63</v>
      </c>
      <c r="E410" s="1">
        <v>45761</v>
      </c>
      <c r="F410" s="24">
        <f t="shared" si="60"/>
        <v>2025</v>
      </c>
      <c r="G410" s="24" t="str">
        <f t="shared" si="61"/>
        <v>April</v>
      </c>
      <c r="H410" s="24" t="str">
        <f t="shared" si="62"/>
        <v>Monday</v>
      </c>
      <c r="I410" s="22">
        <v>0.34554398148148147</v>
      </c>
      <c r="J410" s="24">
        <f t="shared" si="63"/>
        <v>8</v>
      </c>
      <c r="K410" s="24">
        <f t="shared" si="64"/>
        <v>17</v>
      </c>
      <c r="L410" s="24">
        <f t="shared" si="65"/>
        <v>35</v>
      </c>
      <c r="M410" t="s">
        <v>49</v>
      </c>
      <c r="N410" t="s">
        <v>50</v>
      </c>
      <c r="O410" s="24">
        <v>4</v>
      </c>
      <c r="P410" s="11">
        <v>247.67</v>
      </c>
      <c r="Q410" s="26">
        <f>VLOOKUP('Prepared Sales Dataset'!M410,'Product-cost'!A:B,2,FALSE)</f>
        <v>150</v>
      </c>
      <c r="R410" t="s">
        <v>35</v>
      </c>
      <c r="S410" t="s">
        <v>80</v>
      </c>
      <c r="T410" t="s">
        <v>172</v>
      </c>
      <c r="U410" t="s">
        <v>921</v>
      </c>
      <c r="V410" s="17">
        <f>P410*O410</f>
        <v>990.68</v>
      </c>
      <c r="W410" s="19">
        <f>O410*Q410</f>
        <v>600</v>
      </c>
      <c r="X410" s="13">
        <f>VLOOKUP(R410,Taxrate!A:B,2,FALSE)</f>
        <v>0.2</v>
      </c>
      <c r="Y410" s="15">
        <f t="shared" si="66"/>
        <v>198.136</v>
      </c>
      <c r="Z410" s="9">
        <f>VLOOKUP(M410,'Discount Rate'!A:B,2,FALSE)</f>
        <v>7.0000000000000007E-2</v>
      </c>
      <c r="AA410" s="11">
        <f t="shared" si="67"/>
        <v>69.3476</v>
      </c>
      <c r="AB410" s="15">
        <f t="shared" si="68"/>
        <v>723.19639999999993</v>
      </c>
      <c r="AC410" s="15">
        <f t="shared" si="69"/>
        <v>123.19639999999993</v>
      </c>
    </row>
    <row r="411" spans="1:29" x14ac:dyDescent="0.35">
      <c r="A411" t="s">
        <v>863</v>
      </c>
      <c r="B411" t="s">
        <v>769</v>
      </c>
      <c r="C411" t="s">
        <v>24</v>
      </c>
      <c r="D411" t="s">
        <v>25</v>
      </c>
      <c r="E411" s="1">
        <v>46063</v>
      </c>
      <c r="F411" s="24">
        <f t="shared" si="60"/>
        <v>2026</v>
      </c>
      <c r="G411" s="24" t="str">
        <f t="shared" si="61"/>
        <v>February</v>
      </c>
      <c r="H411" s="24" t="str">
        <f t="shared" si="62"/>
        <v>Tuesday</v>
      </c>
      <c r="I411" s="22">
        <v>0.33393518518518517</v>
      </c>
      <c r="J411" s="24">
        <f t="shared" si="63"/>
        <v>8</v>
      </c>
      <c r="K411" s="24">
        <f t="shared" si="64"/>
        <v>0</v>
      </c>
      <c r="L411" s="24">
        <f t="shared" si="65"/>
        <v>52</v>
      </c>
      <c r="M411" t="s">
        <v>78</v>
      </c>
      <c r="N411" t="s">
        <v>79</v>
      </c>
      <c r="O411" s="24">
        <v>10</v>
      </c>
      <c r="P411" s="11">
        <v>192.91</v>
      </c>
      <c r="Q411" s="26">
        <f>VLOOKUP('Prepared Sales Dataset'!M411,'Product-cost'!A:B,2,FALSE)</f>
        <v>50</v>
      </c>
      <c r="R411" t="s">
        <v>55</v>
      </c>
      <c r="S411" t="s">
        <v>29</v>
      </c>
      <c r="U411" t="s">
        <v>923</v>
      </c>
      <c r="V411" s="17">
        <f>P411*O411</f>
        <v>1929.1</v>
      </c>
      <c r="W411" s="19">
        <f>O411*Q411</f>
        <v>500</v>
      </c>
      <c r="X411" s="13">
        <f>VLOOKUP(R411,Taxrate!A:B,2,FALSE)</f>
        <v>7.0000000000000007E-2</v>
      </c>
      <c r="Y411" s="15">
        <f t="shared" si="66"/>
        <v>135.03700000000001</v>
      </c>
      <c r="Z411" s="9">
        <f>VLOOKUP(M411,'Discount Rate'!A:B,2,FALSE)</f>
        <v>0.03</v>
      </c>
      <c r="AA411" s="11">
        <f t="shared" si="67"/>
        <v>57.872999999999998</v>
      </c>
      <c r="AB411" s="15">
        <f t="shared" si="68"/>
        <v>1736.1899999999998</v>
      </c>
      <c r="AC411" s="15">
        <f t="shared" si="69"/>
        <v>1236.1899999999998</v>
      </c>
    </row>
    <row r="412" spans="1:29" x14ac:dyDescent="0.35">
      <c r="A412" t="s">
        <v>864</v>
      </c>
      <c r="B412" t="s">
        <v>709</v>
      </c>
      <c r="C412" t="s">
        <v>195</v>
      </c>
      <c r="D412" t="s">
        <v>63</v>
      </c>
      <c r="E412" s="1">
        <v>45020</v>
      </c>
      <c r="F412" s="24">
        <f t="shared" si="60"/>
        <v>2023</v>
      </c>
      <c r="G412" s="24" t="str">
        <f t="shared" si="61"/>
        <v>April</v>
      </c>
      <c r="H412" s="24" t="str">
        <f t="shared" si="62"/>
        <v>Tuesday</v>
      </c>
      <c r="I412" s="22">
        <v>0.8156944444444445</v>
      </c>
      <c r="J412" s="24">
        <f t="shared" si="63"/>
        <v>19</v>
      </c>
      <c r="K412" s="24">
        <f t="shared" si="64"/>
        <v>34</v>
      </c>
      <c r="L412" s="24">
        <f t="shared" si="65"/>
        <v>36</v>
      </c>
      <c r="M412" t="s">
        <v>17</v>
      </c>
      <c r="N412" t="s">
        <v>18</v>
      </c>
      <c r="O412" s="24">
        <v>7</v>
      </c>
      <c r="P412" s="11">
        <v>1215.25</v>
      </c>
      <c r="Q412" s="26">
        <f>VLOOKUP('Prepared Sales Dataset'!M412,'Product-cost'!A:B,2,FALSE)</f>
        <v>600</v>
      </c>
      <c r="R412" t="s">
        <v>59</v>
      </c>
      <c r="S412" t="s">
        <v>241</v>
      </c>
      <c r="T412" t="s">
        <v>172</v>
      </c>
      <c r="U412" t="s">
        <v>921</v>
      </c>
      <c r="V412" s="17">
        <f>P412*O412</f>
        <v>8506.75</v>
      </c>
      <c r="W412" s="19">
        <f>O412*Q412</f>
        <v>4200</v>
      </c>
      <c r="X412" s="13">
        <f>VLOOKUP(R412,Taxrate!A:B,2,FALSE)</f>
        <v>0.12</v>
      </c>
      <c r="Y412" s="15">
        <f t="shared" si="66"/>
        <v>1020.81</v>
      </c>
      <c r="Z412" s="9">
        <f>VLOOKUP(M412,'Discount Rate'!A:B,2,FALSE)</f>
        <v>0.05</v>
      </c>
      <c r="AA412" s="11">
        <f t="shared" si="67"/>
        <v>425.33750000000003</v>
      </c>
      <c r="AB412" s="15">
        <f t="shared" si="68"/>
        <v>7060.6025</v>
      </c>
      <c r="AC412" s="15">
        <f t="shared" si="69"/>
        <v>2860.6025</v>
      </c>
    </row>
    <row r="413" spans="1:29" x14ac:dyDescent="0.35">
      <c r="A413" t="s">
        <v>865</v>
      </c>
      <c r="B413" t="s">
        <v>591</v>
      </c>
      <c r="C413" t="s">
        <v>205</v>
      </c>
      <c r="D413" t="s">
        <v>170</v>
      </c>
      <c r="E413" s="1">
        <v>45486</v>
      </c>
      <c r="F413" s="24">
        <f t="shared" si="60"/>
        <v>2024</v>
      </c>
      <c r="G413" s="24" t="str">
        <f t="shared" si="61"/>
        <v>July</v>
      </c>
      <c r="H413" s="24" t="str">
        <f t="shared" si="62"/>
        <v>Saturday</v>
      </c>
      <c r="I413" s="22">
        <v>0.76413194444444443</v>
      </c>
      <c r="J413" s="24">
        <f t="shared" si="63"/>
        <v>18</v>
      </c>
      <c r="K413" s="24">
        <f t="shared" si="64"/>
        <v>20</v>
      </c>
      <c r="L413" s="24">
        <f t="shared" si="65"/>
        <v>21</v>
      </c>
      <c r="M413" t="s">
        <v>26</v>
      </c>
      <c r="N413" t="s">
        <v>27</v>
      </c>
      <c r="O413" s="24">
        <v>10</v>
      </c>
      <c r="P413" s="11">
        <v>754.21</v>
      </c>
      <c r="Q413" s="26">
        <f>VLOOKUP('Prepared Sales Dataset'!M413,'Product-cost'!A:B,2,FALSE)</f>
        <v>300</v>
      </c>
      <c r="R413" t="s">
        <v>35</v>
      </c>
      <c r="S413" t="s">
        <v>171</v>
      </c>
      <c r="T413" t="s">
        <v>21</v>
      </c>
      <c r="U413" t="s">
        <v>921</v>
      </c>
      <c r="V413" s="17">
        <f>P413*O413</f>
        <v>7542.1</v>
      </c>
      <c r="W413" s="19">
        <f>O413*Q413</f>
        <v>3000</v>
      </c>
      <c r="X413" s="13">
        <f>VLOOKUP(R413,Taxrate!A:B,2,FALSE)</f>
        <v>0.2</v>
      </c>
      <c r="Y413" s="15">
        <f t="shared" si="66"/>
        <v>1508.42</v>
      </c>
      <c r="Z413" s="9">
        <f>VLOOKUP(M413,'Discount Rate'!A:B,2,FALSE)</f>
        <v>0.1</v>
      </c>
      <c r="AA413" s="11">
        <f t="shared" si="67"/>
        <v>754.21</v>
      </c>
      <c r="AB413" s="15">
        <f t="shared" si="68"/>
        <v>5279.47</v>
      </c>
      <c r="AC413" s="15">
        <f t="shared" si="69"/>
        <v>2279.4700000000003</v>
      </c>
    </row>
    <row r="414" spans="1:29" x14ac:dyDescent="0.35">
      <c r="A414" t="s">
        <v>866</v>
      </c>
      <c r="B414" t="s">
        <v>729</v>
      </c>
      <c r="C414" t="s">
        <v>77</v>
      </c>
      <c r="D414" t="s">
        <v>63</v>
      </c>
      <c r="E414" s="1">
        <v>46029</v>
      </c>
      <c r="F414" s="24">
        <f t="shared" si="60"/>
        <v>2026</v>
      </c>
      <c r="G414" s="24" t="str">
        <f t="shared" si="61"/>
        <v>January</v>
      </c>
      <c r="H414" s="24" t="str">
        <f t="shared" si="62"/>
        <v>Wednesday</v>
      </c>
      <c r="I414" s="22">
        <v>0.87269675925925927</v>
      </c>
      <c r="J414" s="24">
        <f t="shared" si="63"/>
        <v>20</v>
      </c>
      <c r="K414" s="24">
        <f t="shared" si="64"/>
        <v>56</v>
      </c>
      <c r="L414" s="24">
        <f t="shared" si="65"/>
        <v>41</v>
      </c>
      <c r="M414" t="s">
        <v>17</v>
      </c>
      <c r="N414" t="s">
        <v>18</v>
      </c>
      <c r="O414" s="24">
        <v>15</v>
      </c>
      <c r="P414" s="11">
        <v>1135.81</v>
      </c>
      <c r="Q414" s="26">
        <f>VLOOKUP('Prepared Sales Dataset'!M414,'Product-cost'!A:B,2,FALSE)</f>
        <v>600</v>
      </c>
      <c r="R414" t="s">
        <v>55</v>
      </c>
      <c r="S414" t="s">
        <v>241</v>
      </c>
      <c r="T414" t="s">
        <v>30</v>
      </c>
      <c r="U414" t="s">
        <v>921</v>
      </c>
      <c r="V414" s="17">
        <f>P414*O414</f>
        <v>17037.149999999998</v>
      </c>
      <c r="W414" s="19">
        <f>O414*Q414</f>
        <v>9000</v>
      </c>
      <c r="X414" s="13">
        <f>VLOOKUP(R414,Taxrate!A:B,2,FALSE)</f>
        <v>7.0000000000000007E-2</v>
      </c>
      <c r="Y414" s="15">
        <f t="shared" si="66"/>
        <v>1192.6005</v>
      </c>
      <c r="Z414" s="9">
        <f>VLOOKUP(M414,'Discount Rate'!A:B,2,FALSE)</f>
        <v>0.05</v>
      </c>
      <c r="AA414" s="11">
        <f t="shared" si="67"/>
        <v>851.85749999999996</v>
      </c>
      <c r="AB414" s="15">
        <f t="shared" si="68"/>
        <v>14992.691999999997</v>
      </c>
      <c r="AC414" s="15">
        <f t="shared" si="69"/>
        <v>5992.6919999999973</v>
      </c>
    </row>
    <row r="415" spans="1:29" x14ac:dyDescent="0.35">
      <c r="A415" t="s">
        <v>867</v>
      </c>
      <c r="B415" t="s">
        <v>102</v>
      </c>
      <c r="C415" t="s">
        <v>15</v>
      </c>
      <c r="D415" t="s">
        <v>16</v>
      </c>
      <c r="E415" s="1">
        <v>45685</v>
      </c>
      <c r="F415" s="24">
        <f t="shared" si="60"/>
        <v>2025</v>
      </c>
      <c r="G415" s="24" t="str">
        <f t="shared" si="61"/>
        <v>January</v>
      </c>
      <c r="H415" s="24" t="str">
        <f t="shared" si="62"/>
        <v>Tuesday</v>
      </c>
      <c r="I415" s="22">
        <v>0.62516203703703699</v>
      </c>
      <c r="J415" s="24">
        <f t="shared" si="63"/>
        <v>15</v>
      </c>
      <c r="K415" s="24">
        <f t="shared" si="64"/>
        <v>0</v>
      </c>
      <c r="L415" s="24">
        <f t="shared" si="65"/>
        <v>14</v>
      </c>
      <c r="M415" t="s">
        <v>17</v>
      </c>
      <c r="N415" t="s">
        <v>18</v>
      </c>
      <c r="O415" s="24">
        <v>11</v>
      </c>
      <c r="P415" s="11">
        <v>978.91</v>
      </c>
      <c r="Q415" s="26">
        <f>VLOOKUP('Prepared Sales Dataset'!M415,'Product-cost'!A:B,2,FALSE)</f>
        <v>600</v>
      </c>
      <c r="R415" t="s">
        <v>55</v>
      </c>
      <c r="S415" t="s">
        <v>36</v>
      </c>
      <c r="T415" t="s">
        <v>44</v>
      </c>
      <c r="U415" t="s">
        <v>921</v>
      </c>
      <c r="V415" s="17">
        <f>P415*O415</f>
        <v>10768.01</v>
      </c>
      <c r="W415" s="19">
        <f>O415*Q415</f>
        <v>6600</v>
      </c>
      <c r="X415" s="13">
        <f>VLOOKUP(R415,Taxrate!A:B,2,FALSE)</f>
        <v>7.0000000000000007E-2</v>
      </c>
      <c r="Y415" s="15">
        <f t="shared" si="66"/>
        <v>753.76070000000004</v>
      </c>
      <c r="Z415" s="9">
        <f>VLOOKUP(M415,'Discount Rate'!A:B,2,FALSE)</f>
        <v>0.05</v>
      </c>
      <c r="AA415" s="11">
        <f t="shared" si="67"/>
        <v>538.40050000000008</v>
      </c>
      <c r="AB415" s="15">
        <f t="shared" si="68"/>
        <v>9475.8487999999998</v>
      </c>
      <c r="AC415" s="15">
        <f t="shared" si="69"/>
        <v>2875.8487999999998</v>
      </c>
    </row>
    <row r="416" spans="1:29" x14ac:dyDescent="0.35">
      <c r="A416" t="s">
        <v>868</v>
      </c>
      <c r="B416" t="s">
        <v>869</v>
      </c>
      <c r="C416" t="s">
        <v>77</v>
      </c>
      <c r="D416" t="s">
        <v>63</v>
      </c>
      <c r="E416" s="1">
        <v>44941</v>
      </c>
      <c r="F416" s="24">
        <f t="shared" si="60"/>
        <v>2023</v>
      </c>
      <c r="G416" s="24" t="str">
        <f t="shared" si="61"/>
        <v>January</v>
      </c>
      <c r="H416" s="24" t="str">
        <f t="shared" si="62"/>
        <v>Sunday</v>
      </c>
      <c r="I416" s="22">
        <v>0.90306712962962965</v>
      </c>
      <c r="J416" s="24">
        <f t="shared" si="63"/>
        <v>21</v>
      </c>
      <c r="K416" s="24">
        <f t="shared" si="64"/>
        <v>40</v>
      </c>
      <c r="L416" s="24">
        <f t="shared" si="65"/>
        <v>25</v>
      </c>
      <c r="M416" t="s">
        <v>17</v>
      </c>
      <c r="N416" t="s">
        <v>18</v>
      </c>
      <c r="O416" s="24">
        <v>10</v>
      </c>
      <c r="P416" s="11">
        <v>885.24</v>
      </c>
      <c r="Q416" s="26">
        <f>VLOOKUP('Prepared Sales Dataset'!M416,'Product-cost'!A:B,2,FALSE)</f>
        <v>600</v>
      </c>
      <c r="R416" t="s">
        <v>35</v>
      </c>
      <c r="S416" t="s">
        <v>80</v>
      </c>
      <c r="U416" t="s">
        <v>923</v>
      </c>
      <c r="V416" s="17">
        <f>P416*O416</f>
        <v>8852.4</v>
      </c>
      <c r="W416" s="19">
        <f>O416*Q416</f>
        <v>6000</v>
      </c>
      <c r="X416" s="13">
        <f>VLOOKUP(R416,Taxrate!A:B,2,FALSE)</f>
        <v>0.2</v>
      </c>
      <c r="Y416" s="15">
        <f t="shared" si="66"/>
        <v>1770.48</v>
      </c>
      <c r="Z416" s="9">
        <f>VLOOKUP(M416,'Discount Rate'!A:B,2,FALSE)</f>
        <v>0.05</v>
      </c>
      <c r="AA416" s="11">
        <f t="shared" si="67"/>
        <v>442.62</v>
      </c>
      <c r="AB416" s="15">
        <f t="shared" si="68"/>
        <v>6639.2999999999993</v>
      </c>
      <c r="AC416" s="15">
        <f t="shared" si="69"/>
        <v>639.29999999999927</v>
      </c>
    </row>
    <row r="417" spans="1:29" x14ac:dyDescent="0.35">
      <c r="A417" t="s">
        <v>870</v>
      </c>
      <c r="B417" t="s">
        <v>754</v>
      </c>
      <c r="C417" t="s">
        <v>179</v>
      </c>
      <c r="D417" t="s">
        <v>41</v>
      </c>
      <c r="E417" s="1">
        <v>45998</v>
      </c>
      <c r="F417" s="24">
        <f t="shared" si="60"/>
        <v>2025</v>
      </c>
      <c r="G417" s="24" t="str">
        <f t="shared" si="61"/>
        <v>December</v>
      </c>
      <c r="H417" s="24" t="str">
        <f t="shared" si="62"/>
        <v>Sunday</v>
      </c>
      <c r="I417" s="22">
        <v>0.49633101851851852</v>
      </c>
      <c r="J417" s="24">
        <f t="shared" si="63"/>
        <v>11</v>
      </c>
      <c r="K417" s="24">
        <f t="shared" si="64"/>
        <v>54</v>
      </c>
      <c r="L417" s="24">
        <f t="shared" si="65"/>
        <v>43</v>
      </c>
      <c r="M417" t="s">
        <v>17</v>
      </c>
      <c r="N417" t="s">
        <v>18</v>
      </c>
      <c r="O417" s="24">
        <v>12</v>
      </c>
      <c r="P417" s="11">
        <v>1107.23</v>
      </c>
      <c r="Q417" s="26">
        <f>VLOOKUP('Prepared Sales Dataset'!M417,'Product-cost'!A:B,2,FALSE)</f>
        <v>600</v>
      </c>
      <c r="R417" t="s">
        <v>59</v>
      </c>
      <c r="S417" t="s">
        <v>90</v>
      </c>
      <c r="T417" t="s">
        <v>166</v>
      </c>
      <c r="U417" t="s">
        <v>921</v>
      </c>
      <c r="V417" s="17">
        <f>P417*O417</f>
        <v>13286.76</v>
      </c>
      <c r="W417" s="19">
        <f>O417*Q417</f>
        <v>7200</v>
      </c>
      <c r="X417" s="13">
        <f>VLOOKUP(R417,Taxrate!A:B,2,FALSE)</f>
        <v>0.12</v>
      </c>
      <c r="Y417" s="15">
        <f t="shared" si="66"/>
        <v>1594.4112</v>
      </c>
      <c r="Z417" s="9">
        <f>VLOOKUP(M417,'Discount Rate'!A:B,2,FALSE)</f>
        <v>0.05</v>
      </c>
      <c r="AA417" s="11">
        <f t="shared" si="67"/>
        <v>664.33800000000008</v>
      </c>
      <c r="AB417" s="15">
        <f t="shared" si="68"/>
        <v>11028.0108</v>
      </c>
      <c r="AC417" s="15">
        <f t="shared" si="69"/>
        <v>3828.0108</v>
      </c>
    </row>
    <row r="418" spans="1:29" x14ac:dyDescent="0.35">
      <c r="A418" t="s">
        <v>871</v>
      </c>
      <c r="B418" t="s">
        <v>420</v>
      </c>
      <c r="C418" t="s">
        <v>205</v>
      </c>
      <c r="D418" t="s">
        <v>170</v>
      </c>
      <c r="E418" s="1">
        <v>46319</v>
      </c>
      <c r="F418" s="24">
        <f t="shared" si="60"/>
        <v>2026</v>
      </c>
      <c r="G418" s="24" t="str">
        <f t="shared" si="61"/>
        <v>October</v>
      </c>
      <c r="H418" s="24" t="str">
        <f t="shared" si="62"/>
        <v>Saturday</v>
      </c>
      <c r="I418" s="22">
        <v>0.64135416666666667</v>
      </c>
      <c r="J418" s="24">
        <f t="shared" si="63"/>
        <v>15</v>
      </c>
      <c r="K418" s="24">
        <f t="shared" si="64"/>
        <v>23</v>
      </c>
      <c r="L418" s="24">
        <f t="shared" si="65"/>
        <v>33</v>
      </c>
      <c r="M418" t="s">
        <v>17</v>
      </c>
      <c r="N418" t="s">
        <v>18</v>
      </c>
      <c r="O418" s="24">
        <v>4</v>
      </c>
      <c r="P418" s="11">
        <v>506</v>
      </c>
      <c r="Q418" s="26">
        <f>VLOOKUP('Prepared Sales Dataset'!M418,'Product-cost'!A:B,2,FALSE)</f>
        <v>600</v>
      </c>
      <c r="R418" t="s">
        <v>42</v>
      </c>
      <c r="S418" t="s">
        <v>272</v>
      </c>
      <c r="U418" t="s">
        <v>923</v>
      </c>
      <c r="V418" s="17">
        <f>P418*O418</f>
        <v>2024</v>
      </c>
      <c r="W418" s="19">
        <f>O418*Q418</f>
        <v>2400</v>
      </c>
      <c r="X418" s="13">
        <f>VLOOKUP(R418,Taxrate!A:B,2,FALSE)</f>
        <v>0.15</v>
      </c>
      <c r="Y418" s="15">
        <f t="shared" si="66"/>
        <v>303.59999999999997</v>
      </c>
      <c r="Z418" s="9">
        <f>VLOOKUP(M418,'Discount Rate'!A:B,2,FALSE)</f>
        <v>0.05</v>
      </c>
      <c r="AA418" s="11">
        <f t="shared" si="67"/>
        <v>101.2</v>
      </c>
      <c r="AB418" s="15">
        <f t="shared" si="68"/>
        <v>1619.2</v>
      </c>
      <c r="AC418" s="15">
        <f t="shared" si="69"/>
        <v>-780.8</v>
      </c>
    </row>
    <row r="419" spans="1:29" x14ac:dyDescent="0.35">
      <c r="A419" t="s">
        <v>872</v>
      </c>
      <c r="B419" t="s">
        <v>873</v>
      </c>
      <c r="C419" t="s">
        <v>24</v>
      </c>
      <c r="D419" t="s">
        <v>25</v>
      </c>
      <c r="E419" s="1">
        <v>45079</v>
      </c>
      <c r="F419" s="24">
        <f t="shared" si="60"/>
        <v>2023</v>
      </c>
      <c r="G419" s="24" t="str">
        <f t="shared" si="61"/>
        <v>June</v>
      </c>
      <c r="H419" s="24" t="str">
        <f t="shared" si="62"/>
        <v>Friday</v>
      </c>
      <c r="I419" s="22">
        <v>0.46552083333333333</v>
      </c>
      <c r="J419" s="24">
        <f t="shared" si="63"/>
        <v>11</v>
      </c>
      <c r="K419" s="24">
        <f t="shared" si="64"/>
        <v>10</v>
      </c>
      <c r="L419" s="24">
        <f t="shared" si="65"/>
        <v>21</v>
      </c>
      <c r="M419" t="s">
        <v>33</v>
      </c>
      <c r="N419" t="s">
        <v>34</v>
      </c>
      <c r="O419" s="24">
        <v>8</v>
      </c>
      <c r="P419" s="11">
        <v>325.57</v>
      </c>
      <c r="Q419" s="26">
        <f>VLOOKUP('Prepared Sales Dataset'!M419,'Product-cost'!A:B,2,FALSE)</f>
        <v>200</v>
      </c>
      <c r="R419" t="s">
        <v>42</v>
      </c>
      <c r="S419" t="s">
        <v>29</v>
      </c>
      <c r="T419" t="s">
        <v>133</v>
      </c>
      <c r="U419" t="s">
        <v>921</v>
      </c>
      <c r="V419" s="17">
        <f>P419*O419</f>
        <v>2604.56</v>
      </c>
      <c r="W419" s="19">
        <f>O419*Q419</f>
        <v>1600</v>
      </c>
      <c r="X419" s="13">
        <f>VLOOKUP(R419,Taxrate!A:B,2,FALSE)</f>
        <v>0.15</v>
      </c>
      <c r="Y419" s="15">
        <f t="shared" si="66"/>
        <v>390.68399999999997</v>
      </c>
      <c r="Z419" s="9">
        <f>VLOOKUP(M419,'Discount Rate'!A:B,2,FALSE)</f>
        <v>0.08</v>
      </c>
      <c r="AA419" s="11">
        <f t="shared" si="67"/>
        <v>208.3648</v>
      </c>
      <c r="AB419" s="15">
        <f t="shared" si="68"/>
        <v>2005.5111999999999</v>
      </c>
      <c r="AC419" s="15">
        <f t="shared" si="69"/>
        <v>405.51119999999992</v>
      </c>
    </row>
    <row r="420" spans="1:29" x14ac:dyDescent="0.35">
      <c r="A420" t="s">
        <v>874</v>
      </c>
      <c r="B420" t="s">
        <v>355</v>
      </c>
      <c r="C420" t="s">
        <v>47</v>
      </c>
      <c r="D420" t="s">
        <v>48</v>
      </c>
      <c r="E420" s="1">
        <v>45991</v>
      </c>
      <c r="F420" s="24">
        <f t="shared" si="60"/>
        <v>2025</v>
      </c>
      <c r="G420" s="24" t="str">
        <f t="shared" si="61"/>
        <v>November</v>
      </c>
      <c r="H420" s="24" t="str">
        <f t="shared" si="62"/>
        <v>Sunday</v>
      </c>
      <c r="I420" s="22">
        <v>0.40946759259259258</v>
      </c>
      <c r="J420" s="24">
        <f t="shared" si="63"/>
        <v>9</v>
      </c>
      <c r="K420" s="24">
        <f t="shared" si="64"/>
        <v>49</v>
      </c>
      <c r="L420" s="24">
        <f t="shared" si="65"/>
        <v>38</v>
      </c>
      <c r="M420" t="s">
        <v>49</v>
      </c>
      <c r="N420" t="s">
        <v>50</v>
      </c>
      <c r="O420" s="24">
        <v>2</v>
      </c>
      <c r="P420" s="11">
        <v>239.68</v>
      </c>
      <c r="Q420" s="26">
        <f>VLOOKUP('Prepared Sales Dataset'!M420,'Product-cost'!A:B,2,FALSE)</f>
        <v>150</v>
      </c>
      <c r="R420" t="s">
        <v>55</v>
      </c>
      <c r="S420" t="s">
        <v>51</v>
      </c>
      <c r="T420" t="s">
        <v>249</v>
      </c>
      <c r="U420" t="s">
        <v>921</v>
      </c>
      <c r="V420" s="17">
        <f>P420*O420</f>
        <v>479.36</v>
      </c>
      <c r="W420" s="19">
        <f>O420*Q420</f>
        <v>300</v>
      </c>
      <c r="X420" s="13">
        <f>VLOOKUP(R420,Taxrate!A:B,2,FALSE)</f>
        <v>7.0000000000000007E-2</v>
      </c>
      <c r="Y420" s="15">
        <f t="shared" si="66"/>
        <v>33.555200000000006</v>
      </c>
      <c r="Z420" s="9">
        <f>VLOOKUP(M420,'Discount Rate'!A:B,2,FALSE)</f>
        <v>7.0000000000000007E-2</v>
      </c>
      <c r="AA420" s="11">
        <f t="shared" si="67"/>
        <v>33.555200000000006</v>
      </c>
      <c r="AB420" s="15">
        <f t="shared" si="68"/>
        <v>412.24959999999999</v>
      </c>
      <c r="AC420" s="15">
        <f t="shared" si="69"/>
        <v>112.24959999999999</v>
      </c>
    </row>
    <row r="421" spans="1:29" x14ac:dyDescent="0.35">
      <c r="A421" t="s">
        <v>875</v>
      </c>
      <c r="B421" t="s">
        <v>876</v>
      </c>
      <c r="C421" t="s">
        <v>128</v>
      </c>
      <c r="D421" t="s">
        <v>63</v>
      </c>
      <c r="E421" s="1">
        <v>45061</v>
      </c>
      <c r="F421" s="24">
        <f t="shared" si="60"/>
        <v>2023</v>
      </c>
      <c r="G421" s="24" t="str">
        <f t="shared" si="61"/>
        <v>May</v>
      </c>
      <c r="H421" s="24" t="str">
        <f t="shared" si="62"/>
        <v>Monday</v>
      </c>
      <c r="I421" s="22">
        <v>0.75248842592592591</v>
      </c>
      <c r="J421" s="24">
        <f t="shared" si="63"/>
        <v>18</v>
      </c>
      <c r="K421" s="24">
        <f t="shared" si="64"/>
        <v>3</v>
      </c>
      <c r="L421" s="24">
        <f t="shared" si="65"/>
        <v>35</v>
      </c>
      <c r="M421" t="s">
        <v>17</v>
      </c>
      <c r="N421" t="s">
        <v>18</v>
      </c>
      <c r="O421" s="24">
        <v>7</v>
      </c>
      <c r="P421" s="11">
        <v>1108.6500000000001</v>
      </c>
      <c r="Q421" s="26">
        <f>VLOOKUP('Prepared Sales Dataset'!M421,'Product-cost'!A:B,2,FALSE)</f>
        <v>600</v>
      </c>
      <c r="R421" t="s">
        <v>42</v>
      </c>
      <c r="S421" t="s">
        <v>64</v>
      </c>
      <c r="T421" t="s">
        <v>21</v>
      </c>
      <c r="U421" t="s">
        <v>921</v>
      </c>
      <c r="V421" s="17">
        <f>P421*O421</f>
        <v>7760.5500000000011</v>
      </c>
      <c r="W421" s="19">
        <f>O421*Q421</f>
        <v>4200</v>
      </c>
      <c r="X421" s="13">
        <f>VLOOKUP(R421,Taxrate!A:B,2,FALSE)</f>
        <v>0.15</v>
      </c>
      <c r="Y421" s="15">
        <f t="shared" si="66"/>
        <v>1164.0825000000002</v>
      </c>
      <c r="Z421" s="9">
        <f>VLOOKUP(M421,'Discount Rate'!A:B,2,FALSE)</f>
        <v>0.05</v>
      </c>
      <c r="AA421" s="11">
        <f t="shared" si="67"/>
        <v>388.02750000000009</v>
      </c>
      <c r="AB421" s="15">
        <f t="shared" si="68"/>
        <v>6208.4400000000005</v>
      </c>
      <c r="AC421" s="15">
        <f t="shared" si="69"/>
        <v>2008.4400000000005</v>
      </c>
    </row>
    <row r="422" spans="1:29" x14ac:dyDescent="0.35">
      <c r="A422" t="s">
        <v>877</v>
      </c>
      <c r="B422" t="s">
        <v>878</v>
      </c>
      <c r="C422" t="s">
        <v>98</v>
      </c>
      <c r="D422" t="s">
        <v>99</v>
      </c>
      <c r="E422" s="1">
        <v>45622</v>
      </c>
      <c r="F422" s="24">
        <f t="shared" si="60"/>
        <v>2024</v>
      </c>
      <c r="G422" s="24" t="str">
        <f t="shared" si="61"/>
        <v>November</v>
      </c>
      <c r="H422" s="24" t="str">
        <f t="shared" si="62"/>
        <v>Tuesday</v>
      </c>
      <c r="I422" s="22">
        <v>0.64815972222222218</v>
      </c>
      <c r="J422" s="24">
        <f t="shared" si="63"/>
        <v>15</v>
      </c>
      <c r="K422" s="24">
        <f t="shared" si="64"/>
        <v>33</v>
      </c>
      <c r="L422" s="24">
        <f t="shared" si="65"/>
        <v>21</v>
      </c>
      <c r="M422" t="s">
        <v>49</v>
      </c>
      <c r="N422" t="s">
        <v>50</v>
      </c>
      <c r="O422" s="24">
        <v>2</v>
      </c>
      <c r="P422" s="11">
        <v>506</v>
      </c>
      <c r="Q422" s="26">
        <f>VLOOKUP('Prepared Sales Dataset'!M422,'Product-cost'!A:B,2,FALSE)</f>
        <v>150</v>
      </c>
      <c r="R422" t="s">
        <v>55</v>
      </c>
      <c r="S422" t="s">
        <v>216</v>
      </c>
      <c r="T422" t="s">
        <v>109</v>
      </c>
      <c r="U422" t="s">
        <v>923</v>
      </c>
      <c r="V422" s="17">
        <f>P422*O422</f>
        <v>1012</v>
      </c>
      <c r="W422" s="19">
        <f>O422*Q422</f>
        <v>300</v>
      </c>
      <c r="X422" s="13">
        <f>VLOOKUP(R422,Taxrate!A:B,2,FALSE)</f>
        <v>7.0000000000000007E-2</v>
      </c>
      <c r="Y422" s="15">
        <f t="shared" si="66"/>
        <v>70.84</v>
      </c>
      <c r="Z422" s="9">
        <f>VLOOKUP(M422,'Discount Rate'!A:B,2,FALSE)</f>
        <v>7.0000000000000007E-2</v>
      </c>
      <c r="AA422" s="11">
        <f t="shared" si="67"/>
        <v>70.84</v>
      </c>
      <c r="AB422" s="15">
        <f t="shared" si="68"/>
        <v>870.31999999999994</v>
      </c>
      <c r="AC422" s="15">
        <f t="shared" si="69"/>
        <v>570.31999999999994</v>
      </c>
    </row>
    <row r="423" spans="1:29" x14ac:dyDescent="0.35">
      <c r="A423" t="s">
        <v>879</v>
      </c>
      <c r="B423" t="s">
        <v>880</v>
      </c>
      <c r="C423" t="s">
        <v>98</v>
      </c>
      <c r="D423" t="s">
        <v>99</v>
      </c>
      <c r="E423" s="1">
        <v>45307</v>
      </c>
      <c r="F423" s="24">
        <f t="shared" si="60"/>
        <v>2024</v>
      </c>
      <c r="G423" s="24" t="str">
        <f t="shared" si="61"/>
        <v>January</v>
      </c>
      <c r="H423" s="24" t="str">
        <f t="shared" si="62"/>
        <v>Tuesday</v>
      </c>
      <c r="I423" s="22">
        <v>0.45210648148148147</v>
      </c>
      <c r="J423" s="24">
        <f t="shared" si="63"/>
        <v>10</v>
      </c>
      <c r="K423" s="24">
        <f t="shared" si="64"/>
        <v>51</v>
      </c>
      <c r="L423" s="24">
        <f t="shared" si="65"/>
        <v>2</v>
      </c>
      <c r="M423" t="s">
        <v>17</v>
      </c>
      <c r="N423" t="s">
        <v>18</v>
      </c>
      <c r="O423" s="24">
        <v>10</v>
      </c>
      <c r="P423" s="11">
        <v>1279.8699999999999</v>
      </c>
      <c r="Q423" s="26">
        <f>VLOOKUP('Prepared Sales Dataset'!M423,'Product-cost'!A:B,2,FALSE)</f>
        <v>600</v>
      </c>
      <c r="R423" t="s">
        <v>28</v>
      </c>
      <c r="S423" t="s">
        <v>122</v>
      </c>
      <c r="T423" t="s">
        <v>109</v>
      </c>
      <c r="U423" t="s">
        <v>923</v>
      </c>
      <c r="V423" s="17">
        <f>P423*O423</f>
        <v>12798.699999999999</v>
      </c>
      <c r="W423" s="19">
        <f>O423*Q423</f>
        <v>6000</v>
      </c>
      <c r="X423" s="13">
        <f>VLOOKUP(R423,Taxrate!A:B,2,FALSE)</f>
        <v>0.1</v>
      </c>
      <c r="Y423" s="15">
        <f t="shared" si="66"/>
        <v>1279.8699999999999</v>
      </c>
      <c r="Z423" s="9">
        <f>VLOOKUP(M423,'Discount Rate'!A:B,2,FALSE)</f>
        <v>0.05</v>
      </c>
      <c r="AA423" s="11">
        <f t="shared" si="67"/>
        <v>639.93499999999995</v>
      </c>
      <c r="AB423" s="15">
        <f t="shared" si="68"/>
        <v>10878.894999999999</v>
      </c>
      <c r="AC423" s="15">
        <f t="shared" si="69"/>
        <v>4878.8949999999986</v>
      </c>
    </row>
    <row r="424" spans="1:29" x14ac:dyDescent="0.35">
      <c r="A424" t="s">
        <v>881</v>
      </c>
      <c r="B424" t="s">
        <v>102</v>
      </c>
      <c r="C424" t="s">
        <v>136</v>
      </c>
      <c r="D424" t="s">
        <v>25</v>
      </c>
      <c r="E424" s="1">
        <v>45044</v>
      </c>
      <c r="F424" s="24">
        <f t="shared" si="60"/>
        <v>2023</v>
      </c>
      <c r="G424" s="24" t="str">
        <f t="shared" si="61"/>
        <v>April</v>
      </c>
      <c r="H424" s="24" t="str">
        <f t="shared" si="62"/>
        <v>Friday</v>
      </c>
      <c r="I424" s="22">
        <v>0.70339120370370367</v>
      </c>
      <c r="J424" s="24">
        <f t="shared" si="63"/>
        <v>16</v>
      </c>
      <c r="K424" s="24">
        <f t="shared" si="64"/>
        <v>52</v>
      </c>
      <c r="L424" s="24">
        <f t="shared" si="65"/>
        <v>53</v>
      </c>
      <c r="M424" t="s">
        <v>49</v>
      </c>
      <c r="N424" t="s">
        <v>50</v>
      </c>
      <c r="O424" s="24">
        <v>7</v>
      </c>
      <c r="P424" s="11">
        <v>283.42</v>
      </c>
      <c r="Q424" s="26">
        <f>VLOOKUP('Prepared Sales Dataset'!M424,'Product-cost'!A:B,2,FALSE)</f>
        <v>150</v>
      </c>
      <c r="R424" t="s">
        <v>35</v>
      </c>
      <c r="S424" t="s">
        <v>29</v>
      </c>
      <c r="T424" t="s">
        <v>95</v>
      </c>
      <c r="U424" t="s">
        <v>921</v>
      </c>
      <c r="V424" s="17">
        <f>P424*O424</f>
        <v>1983.94</v>
      </c>
      <c r="W424" s="19">
        <f>O424*Q424</f>
        <v>1050</v>
      </c>
      <c r="X424" s="13">
        <f>VLOOKUP(R424,Taxrate!A:B,2,FALSE)</f>
        <v>0.2</v>
      </c>
      <c r="Y424" s="15">
        <f t="shared" si="66"/>
        <v>396.78800000000001</v>
      </c>
      <c r="Z424" s="9">
        <f>VLOOKUP(M424,'Discount Rate'!A:B,2,FALSE)</f>
        <v>7.0000000000000007E-2</v>
      </c>
      <c r="AA424" s="11">
        <f t="shared" si="67"/>
        <v>138.87580000000003</v>
      </c>
      <c r="AB424" s="15">
        <f t="shared" si="68"/>
        <v>1448.2762</v>
      </c>
      <c r="AC424" s="15">
        <f t="shared" si="69"/>
        <v>398.27620000000002</v>
      </c>
    </row>
    <row r="425" spans="1:29" x14ac:dyDescent="0.35">
      <c r="A425" t="s">
        <v>882</v>
      </c>
      <c r="B425" t="s">
        <v>883</v>
      </c>
      <c r="C425" t="s">
        <v>98</v>
      </c>
      <c r="D425" t="s">
        <v>99</v>
      </c>
      <c r="E425" s="1">
        <v>45784</v>
      </c>
      <c r="F425" s="24">
        <f t="shared" si="60"/>
        <v>2025</v>
      </c>
      <c r="G425" s="24" t="str">
        <f t="shared" si="61"/>
        <v>May</v>
      </c>
      <c r="H425" s="24" t="str">
        <f t="shared" si="62"/>
        <v>Wednesday</v>
      </c>
      <c r="I425" s="22">
        <v>0.42116898148148146</v>
      </c>
      <c r="J425" s="24">
        <f t="shared" si="63"/>
        <v>10</v>
      </c>
      <c r="K425" s="24">
        <f t="shared" si="64"/>
        <v>6</v>
      </c>
      <c r="L425" s="24">
        <f t="shared" si="65"/>
        <v>29</v>
      </c>
      <c r="M425" t="s">
        <v>17</v>
      </c>
      <c r="N425" t="s">
        <v>18</v>
      </c>
      <c r="O425" s="24">
        <v>15</v>
      </c>
      <c r="P425" s="11">
        <v>506</v>
      </c>
      <c r="Q425" s="26">
        <f>VLOOKUP('Prepared Sales Dataset'!M425,'Product-cost'!A:B,2,FALSE)</f>
        <v>600</v>
      </c>
      <c r="R425" t="s">
        <v>35</v>
      </c>
      <c r="S425" t="s">
        <v>122</v>
      </c>
      <c r="T425" t="s">
        <v>103</v>
      </c>
      <c r="U425" t="s">
        <v>921</v>
      </c>
      <c r="V425" s="17">
        <f>P425*O425</f>
        <v>7590</v>
      </c>
      <c r="W425" s="19">
        <f>O425*Q425</f>
        <v>9000</v>
      </c>
      <c r="X425" s="13">
        <f>VLOOKUP(R425,Taxrate!A:B,2,FALSE)</f>
        <v>0.2</v>
      </c>
      <c r="Y425" s="15">
        <f t="shared" si="66"/>
        <v>1518</v>
      </c>
      <c r="Z425" s="9">
        <f>VLOOKUP(M425,'Discount Rate'!A:B,2,FALSE)</f>
        <v>0.05</v>
      </c>
      <c r="AA425" s="11">
        <f t="shared" si="67"/>
        <v>379.5</v>
      </c>
      <c r="AB425" s="15">
        <f t="shared" si="68"/>
        <v>5692.5</v>
      </c>
      <c r="AC425" s="15">
        <f t="shared" si="69"/>
        <v>-3307.5</v>
      </c>
    </row>
    <row r="426" spans="1:29" x14ac:dyDescent="0.35">
      <c r="A426" t="s">
        <v>884</v>
      </c>
      <c r="B426" t="s">
        <v>885</v>
      </c>
      <c r="C426" t="s">
        <v>169</v>
      </c>
      <c r="D426" t="s">
        <v>170</v>
      </c>
      <c r="E426" s="1">
        <v>45746</v>
      </c>
      <c r="F426" s="24">
        <f t="shared" si="60"/>
        <v>2025</v>
      </c>
      <c r="G426" s="24" t="str">
        <f t="shared" si="61"/>
        <v>March</v>
      </c>
      <c r="H426" s="24" t="str">
        <f t="shared" si="62"/>
        <v>Sunday</v>
      </c>
      <c r="I426" s="22">
        <v>0.87526620370370367</v>
      </c>
      <c r="J426" s="24">
        <f t="shared" si="63"/>
        <v>21</v>
      </c>
      <c r="K426" s="24">
        <f t="shared" si="64"/>
        <v>0</v>
      </c>
      <c r="L426" s="24">
        <f t="shared" si="65"/>
        <v>23</v>
      </c>
      <c r="M426" t="s">
        <v>17</v>
      </c>
      <c r="N426" t="s">
        <v>18</v>
      </c>
      <c r="O426" s="24">
        <v>8</v>
      </c>
      <c r="P426" s="11">
        <v>506</v>
      </c>
      <c r="Q426" s="26">
        <f>VLOOKUP('Prepared Sales Dataset'!M426,'Product-cost'!A:B,2,FALSE)</f>
        <v>600</v>
      </c>
      <c r="R426" t="s">
        <v>55</v>
      </c>
      <c r="S426" t="s">
        <v>272</v>
      </c>
      <c r="U426" t="s">
        <v>923</v>
      </c>
      <c r="V426" s="17">
        <f>P426*O426</f>
        <v>4048</v>
      </c>
      <c r="W426" s="19">
        <f>O426*Q426</f>
        <v>4800</v>
      </c>
      <c r="X426" s="13">
        <f>VLOOKUP(R426,Taxrate!A:B,2,FALSE)</f>
        <v>7.0000000000000007E-2</v>
      </c>
      <c r="Y426" s="15">
        <f t="shared" si="66"/>
        <v>283.36</v>
      </c>
      <c r="Z426" s="9">
        <f>VLOOKUP(M426,'Discount Rate'!A:B,2,FALSE)</f>
        <v>0.05</v>
      </c>
      <c r="AA426" s="11">
        <f t="shared" si="67"/>
        <v>202.4</v>
      </c>
      <c r="AB426" s="15">
        <f t="shared" si="68"/>
        <v>3562.24</v>
      </c>
      <c r="AC426" s="15">
        <f t="shared" si="69"/>
        <v>-1237.7600000000002</v>
      </c>
    </row>
    <row r="427" spans="1:29" x14ac:dyDescent="0.35">
      <c r="A427" t="s">
        <v>886</v>
      </c>
      <c r="B427" t="s">
        <v>887</v>
      </c>
      <c r="C427" t="s">
        <v>24</v>
      </c>
      <c r="D427" t="s">
        <v>25</v>
      </c>
      <c r="E427" s="1">
        <v>45283</v>
      </c>
      <c r="F427" s="24">
        <f t="shared" si="60"/>
        <v>2023</v>
      </c>
      <c r="G427" s="24" t="str">
        <f t="shared" si="61"/>
        <v>December</v>
      </c>
      <c r="H427" s="24" t="str">
        <f t="shared" si="62"/>
        <v>Saturday</v>
      </c>
      <c r="I427" s="22">
        <v>0.89947916666666672</v>
      </c>
      <c r="J427" s="24">
        <f t="shared" si="63"/>
        <v>21</v>
      </c>
      <c r="K427" s="24">
        <f t="shared" si="64"/>
        <v>35</v>
      </c>
      <c r="L427" s="24">
        <f t="shared" si="65"/>
        <v>15</v>
      </c>
      <c r="M427" t="s">
        <v>26</v>
      </c>
      <c r="N427" t="s">
        <v>27</v>
      </c>
      <c r="O427" s="24">
        <v>3</v>
      </c>
      <c r="P427" s="11">
        <v>753.19</v>
      </c>
      <c r="Q427" s="26">
        <f>VLOOKUP('Prepared Sales Dataset'!M427,'Product-cost'!A:B,2,FALSE)</f>
        <v>300</v>
      </c>
      <c r="R427" t="s">
        <v>55</v>
      </c>
      <c r="S427" t="s">
        <v>29</v>
      </c>
      <c r="T427" t="s">
        <v>37</v>
      </c>
      <c r="U427" t="s">
        <v>921</v>
      </c>
      <c r="V427" s="17">
        <f>P427*O427</f>
        <v>2259.5700000000002</v>
      </c>
      <c r="W427" s="19">
        <f>O427*Q427</f>
        <v>900</v>
      </c>
      <c r="X427" s="13">
        <f>VLOOKUP(R427,Taxrate!A:B,2,FALSE)</f>
        <v>7.0000000000000007E-2</v>
      </c>
      <c r="Y427" s="15">
        <f t="shared" si="66"/>
        <v>158.16990000000001</v>
      </c>
      <c r="Z427" s="9">
        <f>VLOOKUP(M427,'Discount Rate'!A:B,2,FALSE)</f>
        <v>0.1</v>
      </c>
      <c r="AA427" s="11">
        <f t="shared" si="67"/>
        <v>225.95700000000002</v>
      </c>
      <c r="AB427" s="15">
        <f t="shared" si="68"/>
        <v>1875.4431000000002</v>
      </c>
      <c r="AC427" s="15">
        <f t="shared" si="69"/>
        <v>975.44310000000019</v>
      </c>
    </row>
    <row r="428" spans="1:29" x14ac:dyDescent="0.35">
      <c r="A428" t="s">
        <v>888</v>
      </c>
      <c r="B428" t="s">
        <v>889</v>
      </c>
      <c r="C428" t="s">
        <v>40</v>
      </c>
      <c r="D428" t="s">
        <v>41</v>
      </c>
      <c r="E428" s="1">
        <v>46006</v>
      </c>
      <c r="F428" s="24">
        <f t="shared" si="60"/>
        <v>2025</v>
      </c>
      <c r="G428" s="24" t="str">
        <f t="shared" si="61"/>
        <v>December</v>
      </c>
      <c r="H428" s="24" t="str">
        <f t="shared" si="62"/>
        <v>Monday</v>
      </c>
      <c r="I428" s="22">
        <v>0.794525462962963</v>
      </c>
      <c r="J428" s="24">
        <f t="shared" si="63"/>
        <v>19</v>
      </c>
      <c r="K428" s="24">
        <f t="shared" si="64"/>
        <v>4</v>
      </c>
      <c r="L428" s="24">
        <f t="shared" si="65"/>
        <v>7</v>
      </c>
      <c r="M428" t="s">
        <v>26</v>
      </c>
      <c r="N428" t="s">
        <v>27</v>
      </c>
      <c r="O428" s="24">
        <v>3</v>
      </c>
      <c r="P428" s="11">
        <v>537.5</v>
      </c>
      <c r="Q428" s="26">
        <f>VLOOKUP('Prepared Sales Dataset'!M428,'Product-cost'!A:B,2,FALSE)</f>
        <v>300</v>
      </c>
      <c r="R428" t="s">
        <v>42</v>
      </c>
      <c r="S428" t="s">
        <v>90</v>
      </c>
      <c r="T428" t="s">
        <v>44</v>
      </c>
      <c r="U428" t="s">
        <v>921</v>
      </c>
      <c r="V428" s="17">
        <f>P428*O428</f>
        <v>1612.5</v>
      </c>
      <c r="W428" s="19">
        <f>O428*Q428</f>
        <v>900</v>
      </c>
      <c r="X428" s="13">
        <f>VLOOKUP(R428,Taxrate!A:B,2,FALSE)</f>
        <v>0.15</v>
      </c>
      <c r="Y428" s="15">
        <f t="shared" si="66"/>
        <v>241.875</v>
      </c>
      <c r="Z428" s="9">
        <f>VLOOKUP(M428,'Discount Rate'!A:B,2,FALSE)</f>
        <v>0.1</v>
      </c>
      <c r="AA428" s="11">
        <f t="shared" si="67"/>
        <v>161.25</v>
      </c>
      <c r="AB428" s="15">
        <f t="shared" si="68"/>
        <v>1209.375</v>
      </c>
      <c r="AC428" s="15">
        <f t="shared" si="69"/>
        <v>309.375</v>
      </c>
    </row>
    <row r="429" spans="1:29" x14ac:dyDescent="0.35">
      <c r="A429" t="s">
        <v>890</v>
      </c>
      <c r="B429" t="s">
        <v>891</v>
      </c>
      <c r="C429" t="s">
        <v>67</v>
      </c>
      <c r="D429" t="s">
        <v>16</v>
      </c>
      <c r="E429" s="1">
        <v>45231</v>
      </c>
      <c r="F429" s="24">
        <f t="shared" si="60"/>
        <v>2023</v>
      </c>
      <c r="G429" s="24" t="str">
        <f t="shared" si="61"/>
        <v>November</v>
      </c>
      <c r="H429" s="24" t="str">
        <f t="shared" si="62"/>
        <v>Wednesday</v>
      </c>
      <c r="I429" s="22">
        <v>0.46087962962962964</v>
      </c>
      <c r="J429" s="24">
        <f t="shared" si="63"/>
        <v>11</v>
      </c>
      <c r="K429" s="24">
        <f t="shared" si="64"/>
        <v>3</v>
      </c>
      <c r="L429" s="24">
        <f t="shared" si="65"/>
        <v>40</v>
      </c>
      <c r="M429" t="s">
        <v>33</v>
      </c>
      <c r="N429" t="s">
        <v>34</v>
      </c>
      <c r="O429" s="24">
        <v>14</v>
      </c>
      <c r="P429" s="11">
        <v>436.82</v>
      </c>
      <c r="Q429" s="26">
        <f>VLOOKUP('Prepared Sales Dataset'!M429,'Product-cost'!A:B,2,FALSE)</f>
        <v>200</v>
      </c>
      <c r="R429" t="s">
        <v>42</v>
      </c>
      <c r="S429" t="s">
        <v>20</v>
      </c>
      <c r="T429" t="s">
        <v>249</v>
      </c>
      <c r="U429" t="s">
        <v>921</v>
      </c>
      <c r="V429" s="17">
        <f>P429*O429</f>
        <v>6115.48</v>
      </c>
      <c r="W429" s="19">
        <f>O429*Q429</f>
        <v>2800</v>
      </c>
      <c r="X429" s="13">
        <f>VLOOKUP(R429,Taxrate!A:B,2,FALSE)</f>
        <v>0.15</v>
      </c>
      <c r="Y429" s="15">
        <f t="shared" si="66"/>
        <v>917.32199999999989</v>
      </c>
      <c r="Z429" s="9">
        <f>VLOOKUP(M429,'Discount Rate'!A:B,2,FALSE)</f>
        <v>0.08</v>
      </c>
      <c r="AA429" s="11">
        <f t="shared" si="67"/>
        <v>489.23839999999996</v>
      </c>
      <c r="AB429" s="15">
        <f t="shared" si="68"/>
        <v>4708.9195999999993</v>
      </c>
      <c r="AC429" s="15">
        <f t="shared" si="69"/>
        <v>1908.9195999999993</v>
      </c>
    </row>
    <row r="430" spans="1:29" x14ac:dyDescent="0.35">
      <c r="A430" t="s">
        <v>892</v>
      </c>
      <c r="B430" t="s">
        <v>893</v>
      </c>
      <c r="C430" t="s">
        <v>136</v>
      </c>
      <c r="D430" t="s">
        <v>25</v>
      </c>
      <c r="E430" s="1">
        <v>45948</v>
      </c>
      <c r="F430" s="24">
        <f t="shared" si="60"/>
        <v>2025</v>
      </c>
      <c r="G430" s="24" t="str">
        <f t="shared" si="61"/>
        <v>October</v>
      </c>
      <c r="H430" s="24" t="str">
        <f t="shared" si="62"/>
        <v>Saturday</v>
      </c>
      <c r="I430" s="22">
        <v>0.43107638888888888</v>
      </c>
      <c r="J430" s="24">
        <f t="shared" si="63"/>
        <v>10</v>
      </c>
      <c r="K430" s="24">
        <f t="shared" si="64"/>
        <v>20</v>
      </c>
      <c r="L430" s="24">
        <f t="shared" si="65"/>
        <v>45</v>
      </c>
      <c r="M430" t="s">
        <v>33</v>
      </c>
      <c r="N430" t="s">
        <v>34</v>
      </c>
      <c r="O430" s="24">
        <v>8</v>
      </c>
      <c r="P430" s="11">
        <v>418.96</v>
      </c>
      <c r="Q430" s="26">
        <f>VLOOKUP('Prepared Sales Dataset'!M430,'Product-cost'!A:B,2,FALSE)</f>
        <v>200</v>
      </c>
      <c r="R430" t="s">
        <v>28</v>
      </c>
      <c r="S430" t="s">
        <v>56</v>
      </c>
      <c r="T430" t="s">
        <v>166</v>
      </c>
      <c r="U430" t="s">
        <v>921</v>
      </c>
      <c r="V430" s="17">
        <f>P430*O430</f>
        <v>3351.68</v>
      </c>
      <c r="W430" s="19">
        <f>O430*Q430</f>
        <v>1600</v>
      </c>
      <c r="X430" s="13">
        <f>VLOOKUP(R430,Taxrate!A:B,2,FALSE)</f>
        <v>0.1</v>
      </c>
      <c r="Y430" s="15">
        <f t="shared" si="66"/>
        <v>335.16800000000001</v>
      </c>
      <c r="Z430" s="9">
        <f>VLOOKUP(M430,'Discount Rate'!A:B,2,FALSE)</f>
        <v>0.08</v>
      </c>
      <c r="AA430" s="11">
        <f t="shared" si="67"/>
        <v>268.13439999999997</v>
      </c>
      <c r="AB430" s="15">
        <f t="shared" si="68"/>
        <v>2748.3775999999998</v>
      </c>
      <c r="AC430" s="15">
        <f t="shared" si="69"/>
        <v>1148.3775999999998</v>
      </c>
    </row>
    <row r="431" spans="1:29" x14ac:dyDescent="0.35">
      <c r="A431" t="s">
        <v>894</v>
      </c>
      <c r="B431" t="s">
        <v>804</v>
      </c>
      <c r="C431" t="s">
        <v>169</v>
      </c>
      <c r="D431" t="s">
        <v>170</v>
      </c>
      <c r="E431" s="1">
        <v>45553</v>
      </c>
      <c r="F431" s="24">
        <f t="shared" si="60"/>
        <v>2024</v>
      </c>
      <c r="G431" s="24" t="str">
        <f t="shared" si="61"/>
        <v>September</v>
      </c>
      <c r="H431" s="24" t="str">
        <f t="shared" si="62"/>
        <v>Wednesday</v>
      </c>
      <c r="I431" s="22">
        <v>0.60844907407407411</v>
      </c>
      <c r="J431" s="24">
        <f t="shared" si="63"/>
        <v>14</v>
      </c>
      <c r="K431" s="24">
        <f t="shared" si="64"/>
        <v>36</v>
      </c>
      <c r="L431" s="24">
        <f t="shared" si="65"/>
        <v>10</v>
      </c>
      <c r="M431" t="s">
        <v>33</v>
      </c>
      <c r="N431" t="s">
        <v>34</v>
      </c>
      <c r="O431" s="24">
        <v>2</v>
      </c>
      <c r="P431" s="11">
        <v>336.81</v>
      </c>
      <c r="Q431" s="26">
        <f>VLOOKUP('Prepared Sales Dataset'!M431,'Product-cost'!A:B,2,FALSE)</f>
        <v>200</v>
      </c>
      <c r="R431" t="s">
        <v>42</v>
      </c>
      <c r="S431" t="s">
        <v>272</v>
      </c>
      <c r="T431" t="s">
        <v>172</v>
      </c>
      <c r="U431" t="s">
        <v>921</v>
      </c>
      <c r="V431" s="17">
        <f>P431*O431</f>
        <v>673.62</v>
      </c>
      <c r="W431" s="19">
        <f>O431*Q431</f>
        <v>400</v>
      </c>
      <c r="X431" s="13">
        <f>VLOOKUP(R431,Taxrate!A:B,2,FALSE)</f>
        <v>0.15</v>
      </c>
      <c r="Y431" s="15">
        <f t="shared" si="66"/>
        <v>101.04299999999999</v>
      </c>
      <c r="Z431" s="9">
        <f>VLOOKUP(M431,'Discount Rate'!A:B,2,FALSE)</f>
        <v>0.08</v>
      </c>
      <c r="AA431" s="11">
        <f t="shared" si="67"/>
        <v>53.889600000000002</v>
      </c>
      <c r="AB431" s="15">
        <f t="shared" si="68"/>
        <v>518.68740000000003</v>
      </c>
      <c r="AC431" s="15">
        <f t="shared" si="69"/>
        <v>118.68740000000003</v>
      </c>
    </row>
    <row r="432" spans="1:29" x14ac:dyDescent="0.35">
      <c r="A432" t="s">
        <v>895</v>
      </c>
      <c r="B432" t="s">
        <v>896</v>
      </c>
      <c r="C432" t="s">
        <v>40</v>
      </c>
      <c r="D432" t="s">
        <v>41</v>
      </c>
      <c r="E432" s="1">
        <v>45576</v>
      </c>
      <c r="F432" s="24">
        <f t="shared" si="60"/>
        <v>2024</v>
      </c>
      <c r="G432" s="24" t="str">
        <f t="shared" si="61"/>
        <v>October</v>
      </c>
      <c r="H432" s="24" t="str">
        <f t="shared" si="62"/>
        <v>Friday</v>
      </c>
      <c r="I432" s="22">
        <v>0.58415509259259257</v>
      </c>
      <c r="J432" s="24">
        <f t="shared" si="63"/>
        <v>14</v>
      </c>
      <c r="K432" s="24">
        <f t="shared" si="64"/>
        <v>1</v>
      </c>
      <c r="L432" s="24">
        <f t="shared" si="65"/>
        <v>11</v>
      </c>
      <c r="M432" t="s">
        <v>78</v>
      </c>
      <c r="N432" t="s">
        <v>79</v>
      </c>
      <c r="O432" s="24">
        <v>11</v>
      </c>
      <c r="P432" s="11">
        <v>506</v>
      </c>
      <c r="Q432" s="26">
        <f>VLOOKUP('Prepared Sales Dataset'!M432,'Product-cost'!A:B,2,FALSE)</f>
        <v>50</v>
      </c>
      <c r="R432" t="s">
        <v>55</v>
      </c>
      <c r="S432" t="s">
        <v>43</v>
      </c>
      <c r="T432" t="s">
        <v>249</v>
      </c>
      <c r="U432" t="s">
        <v>921</v>
      </c>
      <c r="V432" s="17">
        <f>P432*O432</f>
        <v>5566</v>
      </c>
      <c r="W432" s="19">
        <f>O432*Q432</f>
        <v>550</v>
      </c>
      <c r="X432" s="13">
        <f>VLOOKUP(R432,Taxrate!A:B,2,FALSE)</f>
        <v>7.0000000000000007E-2</v>
      </c>
      <c r="Y432" s="15">
        <f t="shared" si="66"/>
        <v>389.62000000000006</v>
      </c>
      <c r="Z432" s="9">
        <f>VLOOKUP(M432,'Discount Rate'!A:B,2,FALSE)</f>
        <v>0.03</v>
      </c>
      <c r="AA432" s="11">
        <f t="shared" si="67"/>
        <v>166.98</v>
      </c>
      <c r="AB432" s="15">
        <f t="shared" si="68"/>
        <v>5009.3999999999996</v>
      </c>
      <c r="AC432" s="15">
        <f t="shared" si="69"/>
        <v>4459.3999999999996</v>
      </c>
    </row>
    <row r="433" spans="1:29" x14ac:dyDescent="0.35">
      <c r="A433" t="s">
        <v>897</v>
      </c>
      <c r="B433" t="s">
        <v>578</v>
      </c>
      <c r="C433" t="s">
        <v>40</v>
      </c>
      <c r="D433" t="s">
        <v>41</v>
      </c>
      <c r="E433" s="1">
        <v>46045</v>
      </c>
      <c r="F433" s="24">
        <f t="shared" si="60"/>
        <v>2026</v>
      </c>
      <c r="G433" s="24" t="str">
        <f t="shared" si="61"/>
        <v>January</v>
      </c>
      <c r="H433" s="24" t="str">
        <f t="shared" si="62"/>
        <v>Friday</v>
      </c>
      <c r="I433" s="22">
        <v>0.55049768518518516</v>
      </c>
      <c r="J433" s="24">
        <f t="shared" si="63"/>
        <v>13</v>
      </c>
      <c r="K433" s="24">
        <f t="shared" si="64"/>
        <v>12</v>
      </c>
      <c r="L433" s="24">
        <f t="shared" si="65"/>
        <v>43</v>
      </c>
      <c r="M433" t="s">
        <v>33</v>
      </c>
      <c r="N433" t="s">
        <v>34</v>
      </c>
      <c r="O433" s="24">
        <v>12</v>
      </c>
      <c r="P433" s="11">
        <v>456.71</v>
      </c>
      <c r="Q433" s="26">
        <f>VLOOKUP('Prepared Sales Dataset'!M433,'Product-cost'!A:B,2,FALSE)</f>
        <v>200</v>
      </c>
      <c r="R433" t="s">
        <v>28</v>
      </c>
      <c r="S433" t="s">
        <v>90</v>
      </c>
      <c r="U433" t="s">
        <v>923</v>
      </c>
      <c r="V433" s="17">
        <f>P433*O433</f>
        <v>5480.5199999999995</v>
      </c>
      <c r="W433" s="19">
        <f>O433*Q433</f>
        <v>2400</v>
      </c>
      <c r="X433" s="13">
        <f>VLOOKUP(R433,Taxrate!A:B,2,FALSE)</f>
        <v>0.1</v>
      </c>
      <c r="Y433" s="15">
        <f t="shared" si="66"/>
        <v>548.05200000000002</v>
      </c>
      <c r="Z433" s="9">
        <f>VLOOKUP(M433,'Discount Rate'!A:B,2,FALSE)</f>
        <v>0.08</v>
      </c>
      <c r="AA433" s="11">
        <f t="shared" si="67"/>
        <v>438.44159999999999</v>
      </c>
      <c r="AB433" s="15">
        <f t="shared" si="68"/>
        <v>4494.0263999999997</v>
      </c>
      <c r="AC433" s="15">
        <f t="shared" si="69"/>
        <v>2094.0263999999997</v>
      </c>
    </row>
    <row r="434" spans="1:29" x14ac:dyDescent="0.35">
      <c r="A434" t="s">
        <v>898</v>
      </c>
      <c r="B434" t="s">
        <v>899</v>
      </c>
      <c r="C434" t="s">
        <v>169</v>
      </c>
      <c r="D434" t="s">
        <v>170</v>
      </c>
      <c r="E434" s="1">
        <v>46114</v>
      </c>
      <c r="F434" s="24">
        <f t="shared" si="60"/>
        <v>2026</v>
      </c>
      <c r="G434" s="24" t="str">
        <f t="shared" si="61"/>
        <v>April</v>
      </c>
      <c r="H434" s="24" t="str">
        <f t="shared" si="62"/>
        <v>Thursday</v>
      </c>
      <c r="I434" s="22">
        <v>0.65384259259259259</v>
      </c>
      <c r="J434" s="24">
        <f t="shared" si="63"/>
        <v>15</v>
      </c>
      <c r="K434" s="24">
        <f t="shared" si="64"/>
        <v>41</v>
      </c>
      <c r="L434" s="24">
        <f t="shared" si="65"/>
        <v>32</v>
      </c>
      <c r="M434" t="s">
        <v>26</v>
      </c>
      <c r="N434" t="s">
        <v>27</v>
      </c>
      <c r="O434" s="24">
        <v>4</v>
      </c>
      <c r="P434" s="11">
        <v>704.74</v>
      </c>
      <c r="Q434" s="26">
        <f>VLOOKUP('Prepared Sales Dataset'!M434,'Product-cost'!A:B,2,FALSE)</f>
        <v>300</v>
      </c>
      <c r="R434" t="s">
        <v>42</v>
      </c>
      <c r="S434" t="s">
        <v>171</v>
      </c>
      <c r="T434" t="s">
        <v>95</v>
      </c>
      <c r="U434" t="s">
        <v>921</v>
      </c>
      <c r="V434" s="17">
        <f>P434*O434</f>
        <v>2818.96</v>
      </c>
      <c r="W434" s="19">
        <f>O434*Q434</f>
        <v>1200</v>
      </c>
      <c r="X434" s="13">
        <f>VLOOKUP(R434,Taxrate!A:B,2,FALSE)</f>
        <v>0.15</v>
      </c>
      <c r="Y434" s="15">
        <f t="shared" si="66"/>
        <v>422.84399999999999</v>
      </c>
      <c r="Z434" s="9">
        <f>VLOOKUP(M434,'Discount Rate'!A:B,2,FALSE)</f>
        <v>0.1</v>
      </c>
      <c r="AA434" s="11">
        <f t="shared" si="67"/>
        <v>281.89600000000002</v>
      </c>
      <c r="AB434" s="15">
        <f t="shared" si="68"/>
        <v>2114.2200000000003</v>
      </c>
      <c r="AC434" s="15">
        <f t="shared" si="69"/>
        <v>914.22000000000025</v>
      </c>
    </row>
    <row r="435" spans="1:29" x14ac:dyDescent="0.35">
      <c r="A435" t="s">
        <v>900</v>
      </c>
      <c r="B435" t="s">
        <v>901</v>
      </c>
      <c r="C435" t="s">
        <v>195</v>
      </c>
      <c r="D435" t="s">
        <v>63</v>
      </c>
      <c r="E435" s="1">
        <v>46356</v>
      </c>
      <c r="F435" s="24">
        <f t="shared" si="60"/>
        <v>2026</v>
      </c>
      <c r="G435" s="24" t="str">
        <f t="shared" si="61"/>
        <v>November</v>
      </c>
      <c r="H435" s="24" t="str">
        <f t="shared" si="62"/>
        <v>Monday</v>
      </c>
      <c r="I435" s="22">
        <v>0.47810185185185183</v>
      </c>
      <c r="J435" s="24">
        <f t="shared" si="63"/>
        <v>11</v>
      </c>
      <c r="K435" s="24">
        <f t="shared" si="64"/>
        <v>28</v>
      </c>
      <c r="L435" s="24">
        <f t="shared" si="65"/>
        <v>28</v>
      </c>
      <c r="M435" t="s">
        <v>49</v>
      </c>
      <c r="N435" t="s">
        <v>50</v>
      </c>
      <c r="O435" s="24">
        <v>8</v>
      </c>
      <c r="P435" s="11">
        <v>506</v>
      </c>
      <c r="Q435" s="26">
        <f>VLOOKUP('Prepared Sales Dataset'!M435,'Product-cost'!A:B,2,FALSE)</f>
        <v>150</v>
      </c>
      <c r="R435" t="s">
        <v>59</v>
      </c>
      <c r="S435" t="s">
        <v>64</v>
      </c>
      <c r="U435" t="s">
        <v>923</v>
      </c>
      <c r="V435" s="17">
        <f>P435*O435</f>
        <v>4048</v>
      </c>
      <c r="W435" s="19">
        <f>O435*Q435</f>
        <v>1200</v>
      </c>
      <c r="X435" s="13">
        <v>7.0000000000000007E-2</v>
      </c>
      <c r="Y435" s="15">
        <f t="shared" si="66"/>
        <v>283.36</v>
      </c>
      <c r="Z435" s="9">
        <f>VLOOKUP(M435,'Discount Rate'!A:B,2,FALSE)</f>
        <v>7.0000000000000007E-2</v>
      </c>
      <c r="AA435" s="11">
        <f t="shared" si="67"/>
        <v>283.36</v>
      </c>
      <c r="AB435" s="15">
        <f t="shared" si="68"/>
        <v>3481.2799999999997</v>
      </c>
      <c r="AC435" s="15">
        <f t="shared" si="69"/>
        <v>2281.2799999999997</v>
      </c>
    </row>
  </sheetData>
  <autoFilter ref="A1:AC435" xr:uid="{E77CDCAE-6EE6-4A60-8D7D-4C5D50AB490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5CC6-DB83-40A3-AF76-1BD475C606DC}">
  <dimension ref="A1:B7"/>
  <sheetViews>
    <sheetView workbookViewId="0">
      <selection activeCell="E21" sqref="E21"/>
    </sheetView>
  </sheetViews>
  <sheetFormatPr defaultRowHeight="14.5" x14ac:dyDescent="0.35"/>
  <cols>
    <col min="1" max="1" width="19.1796875" customWidth="1"/>
  </cols>
  <sheetData>
    <row r="1" spans="1:2" ht="15" customHeight="1" x14ac:dyDescent="0.35">
      <c r="A1" s="4" t="s">
        <v>6</v>
      </c>
      <c r="B1" s="6" t="s">
        <v>905</v>
      </c>
    </row>
    <row r="2" spans="1:2" ht="15" customHeight="1" x14ac:dyDescent="0.35">
      <c r="A2" s="3" t="s">
        <v>17</v>
      </c>
      <c r="B2" s="5">
        <v>600</v>
      </c>
    </row>
    <row r="3" spans="1:2" ht="15" customHeight="1" x14ac:dyDescent="0.35">
      <c r="A3" s="3" t="s">
        <v>26</v>
      </c>
      <c r="B3" s="5">
        <v>300</v>
      </c>
    </row>
    <row r="4" spans="1:2" ht="15" customHeight="1" x14ac:dyDescent="0.35">
      <c r="A4" s="3" t="s">
        <v>33</v>
      </c>
      <c r="B4" s="5">
        <v>200</v>
      </c>
    </row>
    <row r="5" spans="1:2" ht="15" customHeight="1" x14ac:dyDescent="0.35">
      <c r="A5" s="3" t="s">
        <v>78</v>
      </c>
      <c r="B5" s="5">
        <v>50</v>
      </c>
    </row>
    <row r="6" spans="1:2" ht="15" customHeight="1" x14ac:dyDescent="0.35">
      <c r="A6" s="3" t="s">
        <v>49</v>
      </c>
      <c r="B6" s="5">
        <v>150</v>
      </c>
    </row>
    <row r="7" spans="1:2" ht="15" customHeight="1" x14ac:dyDescent="0.3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EA3BF-F429-4521-8200-FC29A96FC237}">
  <dimension ref="A1:B6"/>
  <sheetViews>
    <sheetView workbookViewId="0">
      <selection activeCell="E11" sqref="E11"/>
    </sheetView>
  </sheetViews>
  <sheetFormatPr defaultRowHeight="14.5" x14ac:dyDescent="0.35"/>
  <cols>
    <col min="1" max="1" width="16" customWidth="1"/>
  </cols>
  <sheetData>
    <row r="1" spans="1:2" ht="14.25" customHeight="1" x14ac:dyDescent="0.35">
      <c r="A1" s="4" t="s">
        <v>902</v>
      </c>
      <c r="B1" s="6" t="s">
        <v>903</v>
      </c>
    </row>
    <row r="2" spans="1:2" ht="14.25" customHeight="1" x14ac:dyDescent="0.35">
      <c r="A2" s="3" t="s">
        <v>55</v>
      </c>
      <c r="B2" s="5">
        <v>7.0000000000000007E-2</v>
      </c>
    </row>
    <row r="3" spans="1:2" ht="14.25" customHeight="1" x14ac:dyDescent="0.35">
      <c r="A3" s="3" t="s">
        <v>35</v>
      </c>
      <c r="B3" s="5">
        <v>0.2</v>
      </c>
    </row>
    <row r="4" spans="1:2" ht="14.25" customHeight="1" x14ac:dyDescent="0.35">
      <c r="A4" s="3" t="s">
        <v>28</v>
      </c>
      <c r="B4" s="5">
        <v>0.1</v>
      </c>
    </row>
    <row r="5" spans="1:2" ht="14.25" customHeight="1" x14ac:dyDescent="0.35">
      <c r="A5" s="3" t="s">
        <v>42</v>
      </c>
      <c r="B5" s="5">
        <v>0.15</v>
      </c>
    </row>
    <row r="6" spans="1:2" ht="14.25" customHeight="1" x14ac:dyDescent="0.35">
      <c r="A6" s="3" t="s">
        <v>59</v>
      </c>
      <c r="B6" s="5">
        <v>0.12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A8DA-9776-4384-A2FB-97D962ADC1E2}">
  <dimension ref="A1:B6"/>
  <sheetViews>
    <sheetView workbookViewId="0">
      <selection activeCell="E17" sqref="E17"/>
    </sheetView>
  </sheetViews>
  <sheetFormatPr defaultRowHeight="14.5" x14ac:dyDescent="0.35"/>
  <cols>
    <col min="1" max="1" width="19.453125" customWidth="1"/>
    <col min="2" max="2" width="15.1796875" customWidth="1"/>
  </cols>
  <sheetData>
    <row r="1" spans="1:2" ht="17.25" customHeight="1" x14ac:dyDescent="0.35">
      <c r="A1" s="4" t="s">
        <v>6</v>
      </c>
      <c r="B1" s="6" t="s">
        <v>904</v>
      </c>
    </row>
    <row r="2" spans="1:2" ht="17.25" customHeight="1" x14ac:dyDescent="0.35">
      <c r="A2" s="3" t="s">
        <v>17</v>
      </c>
      <c r="B2" s="5">
        <v>0.05</v>
      </c>
    </row>
    <row r="3" spans="1:2" ht="17.25" customHeight="1" x14ac:dyDescent="0.35">
      <c r="A3" s="3" t="s">
        <v>26</v>
      </c>
      <c r="B3" s="5">
        <v>0.1</v>
      </c>
    </row>
    <row r="4" spans="1:2" ht="17.25" customHeight="1" x14ac:dyDescent="0.35">
      <c r="A4" s="3" t="s">
        <v>33</v>
      </c>
      <c r="B4" s="5">
        <v>0.08</v>
      </c>
    </row>
    <row r="5" spans="1:2" ht="17.25" customHeight="1" x14ac:dyDescent="0.35">
      <c r="A5" s="3" t="s">
        <v>78</v>
      </c>
      <c r="B5" s="5">
        <v>0.03</v>
      </c>
    </row>
    <row r="6" spans="1:2" ht="17.25" customHeight="1" x14ac:dyDescent="0.35">
      <c r="A6" s="3" t="s">
        <v>49</v>
      </c>
      <c r="B6" s="5">
        <v>7.0000000000000007E-2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793C4-FD69-434D-A31B-24347ED19D49}">
  <dimension ref="A1:U435"/>
  <sheetViews>
    <sheetView topLeftCell="P1" workbookViewId="0">
      <selection activeCell="Y24" sqref="Y24"/>
    </sheetView>
  </sheetViews>
  <sheetFormatPr defaultRowHeight="14.5" x14ac:dyDescent="0.35"/>
  <cols>
    <col min="1" max="1" width="10.81640625" customWidth="1"/>
    <col min="5" max="5" width="12.26953125" customWidth="1"/>
  </cols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907</v>
      </c>
      <c r="L1" t="s">
        <v>10</v>
      </c>
      <c r="M1" t="s">
        <v>11</v>
      </c>
      <c r="N1" t="s">
        <v>12</v>
      </c>
      <c r="O1" t="s">
        <v>906</v>
      </c>
      <c r="P1" t="s">
        <v>908</v>
      </c>
      <c r="Q1" t="s">
        <v>909</v>
      </c>
      <c r="R1" t="s">
        <v>910</v>
      </c>
      <c r="S1" t="s">
        <v>911</v>
      </c>
      <c r="T1" t="s">
        <v>912</v>
      </c>
      <c r="U1" t="s">
        <v>913</v>
      </c>
    </row>
    <row r="2" spans="1:21" x14ac:dyDescent="0.35">
      <c r="A2" t="s">
        <v>13</v>
      </c>
      <c r="B2" t="s">
        <v>14</v>
      </c>
      <c r="C2" t="s">
        <v>15</v>
      </c>
      <c r="D2" t="s">
        <v>16</v>
      </c>
      <c r="E2" s="1">
        <v>45490</v>
      </c>
      <c r="F2" s="2">
        <v>0.46443287037037034</v>
      </c>
      <c r="G2" t="s">
        <v>17</v>
      </c>
      <c r="H2" t="s">
        <v>18</v>
      </c>
      <c r="I2">
        <v>15</v>
      </c>
      <c r="J2">
        <v>1095.25</v>
      </c>
      <c r="L2" t="s">
        <v>19</v>
      </c>
      <c r="M2" t="s">
        <v>20</v>
      </c>
      <c r="N2" t="s">
        <v>21</v>
      </c>
    </row>
    <row r="3" spans="1:21" x14ac:dyDescent="0.35">
      <c r="A3" t="s">
        <v>22</v>
      </c>
      <c r="B3" t="s">
        <v>23</v>
      </c>
      <c r="C3" t="s">
        <v>24</v>
      </c>
      <c r="D3" t="s">
        <v>25</v>
      </c>
      <c r="E3" s="1">
        <v>46133</v>
      </c>
      <c r="F3" s="2">
        <v>0.87152777777777779</v>
      </c>
      <c r="G3" t="s">
        <v>26</v>
      </c>
      <c r="H3" t="s">
        <v>27</v>
      </c>
      <c r="I3">
        <v>6</v>
      </c>
      <c r="J3">
        <v>544.59</v>
      </c>
      <c r="L3" t="s">
        <v>28</v>
      </c>
      <c r="M3" t="s">
        <v>29</v>
      </c>
      <c r="N3" t="s">
        <v>30</v>
      </c>
    </row>
    <row r="4" spans="1:21" x14ac:dyDescent="0.35">
      <c r="A4" t="s">
        <v>31</v>
      </c>
      <c r="B4" t="s">
        <v>32</v>
      </c>
      <c r="C4" t="s">
        <v>15</v>
      </c>
      <c r="D4" t="s">
        <v>16</v>
      </c>
      <c r="E4" s="1">
        <v>45088</v>
      </c>
      <c r="F4" s="2">
        <v>0.90322916666666664</v>
      </c>
      <c r="G4" t="s">
        <v>33</v>
      </c>
      <c r="H4" t="s">
        <v>34</v>
      </c>
      <c r="I4">
        <v>12</v>
      </c>
      <c r="L4" t="s">
        <v>35</v>
      </c>
      <c r="M4" t="s">
        <v>36</v>
      </c>
      <c r="N4" t="s">
        <v>37</v>
      </c>
    </row>
    <row r="5" spans="1:21" x14ac:dyDescent="0.35">
      <c r="A5" t="s">
        <v>38</v>
      </c>
      <c r="B5" t="s">
        <v>39</v>
      </c>
      <c r="C5" t="s">
        <v>40</v>
      </c>
      <c r="D5" t="s">
        <v>41</v>
      </c>
      <c r="E5" s="1">
        <v>45356</v>
      </c>
      <c r="F5" s="2">
        <v>0.83313657407407404</v>
      </c>
      <c r="G5" t="s">
        <v>17</v>
      </c>
      <c r="H5" t="s">
        <v>18</v>
      </c>
      <c r="I5">
        <v>3</v>
      </c>
      <c r="J5">
        <v>922.41</v>
      </c>
      <c r="L5" t="s">
        <v>42</v>
      </c>
      <c r="M5" t="s">
        <v>43</v>
      </c>
      <c r="N5" t="s">
        <v>44</v>
      </c>
    </row>
    <row r="6" spans="1:21" x14ac:dyDescent="0.35">
      <c r="A6" t="s">
        <v>45</v>
      </c>
      <c r="B6" t="s">
        <v>46</v>
      </c>
      <c r="C6" t="s">
        <v>47</v>
      </c>
      <c r="D6" t="s">
        <v>48</v>
      </c>
      <c r="E6" s="1">
        <v>45748</v>
      </c>
      <c r="F6" s="2">
        <v>0.38469907407407405</v>
      </c>
      <c r="G6" t="s">
        <v>49</v>
      </c>
      <c r="H6" t="s">
        <v>50</v>
      </c>
      <c r="I6">
        <v>6</v>
      </c>
      <c r="J6">
        <v>230.92</v>
      </c>
      <c r="L6" t="s">
        <v>42</v>
      </c>
      <c r="M6" t="s">
        <v>51</v>
      </c>
    </row>
    <row r="7" spans="1:21" x14ac:dyDescent="0.35">
      <c r="A7" t="s">
        <v>52</v>
      </c>
      <c r="B7" t="s">
        <v>53</v>
      </c>
      <c r="C7" t="s">
        <v>24</v>
      </c>
      <c r="D7" t="s">
        <v>25</v>
      </c>
      <c r="E7" s="1">
        <v>45970</v>
      </c>
      <c r="F7" s="2">
        <v>0.40836805555555555</v>
      </c>
      <c r="G7" t="s">
        <v>54</v>
      </c>
      <c r="H7" t="s">
        <v>18</v>
      </c>
      <c r="I7">
        <v>3</v>
      </c>
      <c r="J7">
        <v>1011.08</v>
      </c>
      <c r="L7" t="s">
        <v>55</v>
      </c>
      <c r="M7" t="s">
        <v>56</v>
      </c>
    </row>
    <row r="8" spans="1:21" x14ac:dyDescent="0.35">
      <c r="A8" t="s">
        <v>57</v>
      </c>
      <c r="B8" t="s">
        <v>58</v>
      </c>
      <c r="C8" t="s">
        <v>15</v>
      </c>
      <c r="D8" t="s">
        <v>16</v>
      </c>
      <c r="E8" s="1">
        <v>46239</v>
      </c>
      <c r="F8" s="2">
        <v>0.3878125</v>
      </c>
      <c r="G8" t="s">
        <v>26</v>
      </c>
      <c r="H8" t="s">
        <v>27</v>
      </c>
      <c r="I8">
        <v>12</v>
      </c>
      <c r="J8">
        <v>559.02</v>
      </c>
      <c r="L8" t="s">
        <v>59</v>
      </c>
      <c r="M8" t="s">
        <v>36</v>
      </c>
    </row>
    <row r="9" spans="1:21" x14ac:dyDescent="0.35">
      <c r="A9" t="s">
        <v>60</v>
      </c>
      <c r="B9" t="s">
        <v>61</v>
      </c>
      <c r="C9" t="s">
        <v>62</v>
      </c>
      <c r="D9" t="s">
        <v>63</v>
      </c>
      <c r="E9" s="1">
        <v>46013</v>
      </c>
      <c r="F9" s="2">
        <v>0.72258101851851853</v>
      </c>
      <c r="G9" t="s">
        <v>54</v>
      </c>
      <c r="H9" t="s">
        <v>18</v>
      </c>
      <c r="I9">
        <v>6</v>
      </c>
      <c r="J9">
        <v>1215.83</v>
      </c>
      <c r="L9" t="s">
        <v>28</v>
      </c>
      <c r="M9" t="s">
        <v>64</v>
      </c>
    </row>
    <row r="10" spans="1:21" x14ac:dyDescent="0.35">
      <c r="A10" t="s">
        <v>65</v>
      </c>
      <c r="B10" t="s">
        <v>66</v>
      </c>
      <c r="C10" t="s">
        <v>67</v>
      </c>
      <c r="D10" t="s">
        <v>16</v>
      </c>
      <c r="E10" s="1">
        <v>45189</v>
      </c>
      <c r="F10" s="2">
        <v>0.67379629629629634</v>
      </c>
      <c r="G10" t="s">
        <v>49</v>
      </c>
      <c r="H10" t="s">
        <v>50</v>
      </c>
      <c r="I10">
        <v>7</v>
      </c>
      <c r="J10">
        <v>278.18</v>
      </c>
      <c r="L10" t="s">
        <v>35</v>
      </c>
      <c r="M10" t="s">
        <v>36</v>
      </c>
      <c r="N10" t="s">
        <v>30</v>
      </c>
    </row>
    <row r="11" spans="1:21" x14ac:dyDescent="0.35">
      <c r="A11" t="s">
        <v>68</v>
      </c>
      <c r="B11" t="s">
        <v>69</v>
      </c>
      <c r="C11" t="s">
        <v>70</v>
      </c>
      <c r="D11" t="s">
        <v>71</v>
      </c>
      <c r="E11" s="1">
        <v>44970</v>
      </c>
      <c r="F11" s="2">
        <v>0.71805555555555556</v>
      </c>
      <c r="G11" t="s">
        <v>17</v>
      </c>
      <c r="H11" t="s">
        <v>18</v>
      </c>
      <c r="I11">
        <v>1</v>
      </c>
      <c r="J11">
        <v>1252.71</v>
      </c>
      <c r="L11" t="s">
        <v>72</v>
      </c>
      <c r="M11" t="s">
        <v>73</v>
      </c>
      <c r="N11" t="s">
        <v>74</v>
      </c>
    </row>
    <row r="12" spans="1:21" x14ac:dyDescent="0.35">
      <c r="A12" t="s">
        <v>75</v>
      </c>
      <c r="B12" t="s">
        <v>76</v>
      </c>
      <c r="C12" t="s">
        <v>77</v>
      </c>
      <c r="D12" t="s">
        <v>63</v>
      </c>
      <c r="E12" s="1">
        <v>45895</v>
      </c>
      <c r="F12" s="2">
        <v>0.46256944444444442</v>
      </c>
      <c r="G12" t="s">
        <v>78</v>
      </c>
      <c r="H12" t="s">
        <v>79</v>
      </c>
      <c r="I12">
        <v>7</v>
      </c>
      <c r="J12">
        <v>174.68</v>
      </c>
      <c r="L12" t="s">
        <v>19</v>
      </c>
      <c r="M12" t="s">
        <v>80</v>
      </c>
      <c r="N12" t="s">
        <v>37</v>
      </c>
    </row>
    <row r="13" spans="1:21" x14ac:dyDescent="0.35">
      <c r="A13" t="s">
        <v>81</v>
      </c>
      <c r="B13" t="s">
        <v>82</v>
      </c>
      <c r="C13" t="s">
        <v>62</v>
      </c>
      <c r="D13" t="s">
        <v>63</v>
      </c>
      <c r="E13" s="1">
        <v>45874</v>
      </c>
      <c r="F13" s="2">
        <v>0.91601851851851857</v>
      </c>
      <c r="G13" t="s">
        <v>78</v>
      </c>
      <c r="H13" t="s">
        <v>79</v>
      </c>
      <c r="I13">
        <v>14</v>
      </c>
      <c r="J13">
        <v>123.79</v>
      </c>
      <c r="L13" t="s">
        <v>59</v>
      </c>
      <c r="M13" t="s">
        <v>80</v>
      </c>
      <c r="N13" t="s">
        <v>44</v>
      </c>
    </row>
    <row r="14" spans="1:21" x14ac:dyDescent="0.35">
      <c r="A14" t="s">
        <v>83</v>
      </c>
      <c r="B14" t="s">
        <v>84</v>
      </c>
      <c r="C14" t="s">
        <v>47</v>
      </c>
      <c r="D14" t="s">
        <v>48</v>
      </c>
      <c r="E14" s="1">
        <v>45703</v>
      </c>
      <c r="F14" s="2">
        <v>0.59512731481481485</v>
      </c>
      <c r="G14" t="s">
        <v>78</v>
      </c>
      <c r="H14" t="s">
        <v>79</v>
      </c>
      <c r="I14">
        <v>12</v>
      </c>
      <c r="J14">
        <v>194.66</v>
      </c>
      <c r="L14" t="s">
        <v>59</v>
      </c>
      <c r="M14" t="s">
        <v>85</v>
      </c>
      <c r="N14" t="s">
        <v>74</v>
      </c>
    </row>
    <row r="15" spans="1:21" x14ac:dyDescent="0.35">
      <c r="A15" t="s">
        <v>86</v>
      </c>
      <c r="B15" t="s">
        <v>87</v>
      </c>
      <c r="C15" t="s">
        <v>88</v>
      </c>
      <c r="D15" t="s">
        <v>41</v>
      </c>
      <c r="E15" s="1">
        <v>45029</v>
      </c>
      <c r="F15" s="2">
        <v>0.70756944444444447</v>
      </c>
      <c r="G15" t="s">
        <v>49</v>
      </c>
      <c r="H15" t="s">
        <v>50</v>
      </c>
      <c r="I15">
        <v>9</v>
      </c>
      <c r="L15" t="s">
        <v>89</v>
      </c>
      <c r="M15" t="s">
        <v>90</v>
      </c>
    </row>
    <row r="16" spans="1:21" x14ac:dyDescent="0.35">
      <c r="A16" t="s">
        <v>91</v>
      </c>
      <c r="B16" t="s">
        <v>92</v>
      </c>
      <c r="C16" t="s">
        <v>47</v>
      </c>
      <c r="D16" t="s">
        <v>48</v>
      </c>
      <c r="E16" s="1">
        <v>45094</v>
      </c>
      <c r="F16" s="2">
        <v>0.77611111111111108</v>
      </c>
      <c r="G16" t="s">
        <v>93</v>
      </c>
      <c r="H16" t="s">
        <v>50</v>
      </c>
      <c r="I16">
        <v>5</v>
      </c>
      <c r="J16">
        <v>254.78</v>
      </c>
      <c r="L16" t="s">
        <v>35</v>
      </c>
      <c r="M16" t="s">
        <v>94</v>
      </c>
      <c r="N16" t="s">
        <v>95</v>
      </c>
    </row>
    <row r="17" spans="1:14" x14ac:dyDescent="0.35">
      <c r="A17" t="s">
        <v>96</v>
      </c>
      <c r="B17" t="s">
        <v>97</v>
      </c>
      <c r="C17" t="s">
        <v>98</v>
      </c>
      <c r="D17" t="s">
        <v>99</v>
      </c>
      <c r="E17" s="1">
        <v>45131</v>
      </c>
      <c r="F17" s="2">
        <v>0.67606481481481484</v>
      </c>
      <c r="G17" t="s">
        <v>33</v>
      </c>
      <c r="H17" t="s">
        <v>34</v>
      </c>
      <c r="I17">
        <v>6</v>
      </c>
      <c r="J17">
        <v>495.85</v>
      </c>
      <c r="L17" t="s">
        <v>28</v>
      </c>
      <c r="M17" t="s">
        <v>100</v>
      </c>
    </row>
    <row r="18" spans="1:14" x14ac:dyDescent="0.35">
      <c r="A18" t="s">
        <v>101</v>
      </c>
      <c r="B18" t="s">
        <v>102</v>
      </c>
      <c r="C18" t="s">
        <v>67</v>
      </c>
      <c r="D18" t="s">
        <v>16</v>
      </c>
      <c r="E18" s="1">
        <v>46285</v>
      </c>
      <c r="F18" s="2">
        <v>0.42785879629629631</v>
      </c>
      <c r="G18" t="s">
        <v>54</v>
      </c>
      <c r="H18" t="s">
        <v>18</v>
      </c>
      <c r="I18">
        <v>3</v>
      </c>
      <c r="J18">
        <v>1102.4100000000001</v>
      </c>
      <c r="L18" t="s">
        <v>28</v>
      </c>
      <c r="M18" t="s">
        <v>20</v>
      </c>
      <c r="N18" t="s">
        <v>103</v>
      </c>
    </row>
    <row r="19" spans="1:14" x14ac:dyDescent="0.35">
      <c r="A19" t="s">
        <v>104</v>
      </c>
      <c r="B19" t="s">
        <v>105</v>
      </c>
      <c r="C19" t="s">
        <v>106</v>
      </c>
      <c r="D19" t="s">
        <v>107</v>
      </c>
      <c r="E19" s="1">
        <v>45017</v>
      </c>
      <c r="F19" s="2">
        <v>0.57578703703703704</v>
      </c>
      <c r="G19" t="s">
        <v>33</v>
      </c>
      <c r="H19" t="s">
        <v>34</v>
      </c>
      <c r="I19">
        <v>8</v>
      </c>
      <c r="J19">
        <v>405.54</v>
      </c>
      <c r="L19" t="s">
        <v>55</v>
      </c>
      <c r="M19" t="s">
        <v>108</v>
      </c>
      <c r="N19" t="s">
        <v>109</v>
      </c>
    </row>
    <row r="20" spans="1:14" x14ac:dyDescent="0.35">
      <c r="A20" t="s">
        <v>110</v>
      </c>
      <c r="B20" t="s">
        <v>111</v>
      </c>
      <c r="C20" t="s">
        <v>106</v>
      </c>
      <c r="D20" t="s">
        <v>107</v>
      </c>
      <c r="E20" s="1">
        <v>45012</v>
      </c>
      <c r="F20" s="2">
        <v>0.58193287037037034</v>
      </c>
      <c r="G20" t="s">
        <v>17</v>
      </c>
      <c r="H20" t="s">
        <v>18</v>
      </c>
      <c r="I20">
        <v>4</v>
      </c>
      <c r="J20">
        <v>1133.47</v>
      </c>
      <c r="L20" t="s">
        <v>28</v>
      </c>
      <c r="M20" t="s">
        <v>112</v>
      </c>
      <c r="N20" t="s">
        <v>109</v>
      </c>
    </row>
    <row r="21" spans="1:14" x14ac:dyDescent="0.35">
      <c r="A21" t="s">
        <v>113</v>
      </c>
      <c r="B21" t="s">
        <v>114</v>
      </c>
      <c r="C21" t="s">
        <v>62</v>
      </c>
      <c r="D21" t="s">
        <v>63</v>
      </c>
      <c r="E21" s="1">
        <v>44977</v>
      </c>
      <c r="F21" s="2">
        <v>0.83288194444444441</v>
      </c>
      <c r="G21" t="s">
        <v>78</v>
      </c>
      <c r="H21" t="s">
        <v>79</v>
      </c>
      <c r="I21">
        <v>14</v>
      </c>
      <c r="J21">
        <v>138.61000000000001</v>
      </c>
      <c r="L21" t="s">
        <v>35</v>
      </c>
      <c r="M21" t="s">
        <v>80</v>
      </c>
      <c r="N21" t="s">
        <v>103</v>
      </c>
    </row>
    <row r="22" spans="1:14" x14ac:dyDescent="0.35">
      <c r="A22" t="s">
        <v>115</v>
      </c>
      <c r="B22" t="s">
        <v>116</v>
      </c>
      <c r="C22" t="s">
        <v>24</v>
      </c>
      <c r="D22" t="s">
        <v>25</v>
      </c>
      <c r="E22" s="1">
        <v>44975</v>
      </c>
      <c r="F22" s="2">
        <v>0.59811342592592598</v>
      </c>
      <c r="G22" t="s">
        <v>17</v>
      </c>
      <c r="H22" t="s">
        <v>18</v>
      </c>
      <c r="I22">
        <v>5</v>
      </c>
      <c r="J22">
        <v>1054.7</v>
      </c>
      <c r="L22" t="s">
        <v>117</v>
      </c>
      <c r="M22" t="s">
        <v>56</v>
      </c>
    </row>
    <row r="23" spans="1:14" x14ac:dyDescent="0.35">
      <c r="A23" t="s">
        <v>118</v>
      </c>
      <c r="B23" t="s">
        <v>119</v>
      </c>
      <c r="C23" t="s">
        <v>98</v>
      </c>
      <c r="D23" t="s">
        <v>99</v>
      </c>
      <c r="E23" s="1">
        <v>45634</v>
      </c>
      <c r="F23" s="2">
        <v>0.61009259259259263</v>
      </c>
      <c r="G23" t="s">
        <v>120</v>
      </c>
      <c r="H23" t="s">
        <v>18</v>
      </c>
      <c r="I23">
        <v>10</v>
      </c>
      <c r="J23">
        <v>822.19</v>
      </c>
      <c r="L23" t="s">
        <v>121</v>
      </c>
      <c r="M23" t="s">
        <v>122</v>
      </c>
      <c r="N23" t="s">
        <v>74</v>
      </c>
    </row>
    <row r="24" spans="1:14" x14ac:dyDescent="0.35">
      <c r="A24" t="s">
        <v>123</v>
      </c>
      <c r="B24" t="s">
        <v>124</v>
      </c>
      <c r="C24" t="s">
        <v>98</v>
      </c>
      <c r="D24" t="s">
        <v>99</v>
      </c>
      <c r="E24" s="1">
        <v>46285</v>
      </c>
      <c r="F24" s="2">
        <v>0.83146990740740745</v>
      </c>
      <c r="G24" t="s">
        <v>49</v>
      </c>
      <c r="H24" t="s">
        <v>50</v>
      </c>
      <c r="I24">
        <v>7</v>
      </c>
      <c r="J24">
        <v>252.69</v>
      </c>
      <c r="L24" t="s">
        <v>59</v>
      </c>
      <c r="M24" t="s">
        <v>122</v>
      </c>
      <c r="N24" t="s">
        <v>125</v>
      </c>
    </row>
    <row r="25" spans="1:14" x14ac:dyDescent="0.35">
      <c r="A25" t="s">
        <v>126</v>
      </c>
      <c r="B25" t="s">
        <v>127</v>
      </c>
      <c r="C25" t="s">
        <v>128</v>
      </c>
      <c r="D25" t="s">
        <v>63</v>
      </c>
      <c r="E25" s="1">
        <v>45357</v>
      </c>
      <c r="F25" s="2">
        <v>0.85946759259259264</v>
      </c>
      <c r="G25" t="s">
        <v>33</v>
      </c>
      <c r="H25" t="s">
        <v>34</v>
      </c>
      <c r="I25">
        <v>8</v>
      </c>
      <c r="J25">
        <v>422.23</v>
      </c>
      <c r="L25" t="s">
        <v>35</v>
      </c>
      <c r="M25" t="s">
        <v>64</v>
      </c>
    </row>
    <row r="26" spans="1:14" x14ac:dyDescent="0.35">
      <c r="A26" t="s">
        <v>129</v>
      </c>
      <c r="B26" t="s">
        <v>130</v>
      </c>
      <c r="C26" t="s">
        <v>24</v>
      </c>
      <c r="D26" t="s">
        <v>25</v>
      </c>
      <c r="E26" s="1">
        <v>45228</v>
      </c>
      <c r="F26" s="2">
        <v>0.34409722222222222</v>
      </c>
      <c r="G26" t="s">
        <v>49</v>
      </c>
      <c r="H26" t="s">
        <v>50</v>
      </c>
      <c r="I26">
        <v>2</v>
      </c>
      <c r="J26">
        <v>273.48</v>
      </c>
      <c r="L26" t="s">
        <v>59</v>
      </c>
      <c r="M26" t="s">
        <v>56</v>
      </c>
    </row>
    <row r="27" spans="1:14" x14ac:dyDescent="0.35">
      <c r="A27" t="s">
        <v>131</v>
      </c>
      <c r="B27" t="s">
        <v>132</v>
      </c>
      <c r="C27" t="s">
        <v>15</v>
      </c>
      <c r="D27" t="s">
        <v>16</v>
      </c>
      <c r="E27" s="1">
        <v>45375</v>
      </c>
      <c r="F27" s="2">
        <v>0.86427083333333332</v>
      </c>
      <c r="G27" t="s">
        <v>78</v>
      </c>
      <c r="H27" t="s">
        <v>79</v>
      </c>
      <c r="J27">
        <v>183.63</v>
      </c>
      <c r="L27" t="s">
        <v>42</v>
      </c>
      <c r="M27" t="s">
        <v>36</v>
      </c>
      <c r="N27" t="s">
        <v>133</v>
      </c>
    </row>
    <row r="28" spans="1:14" x14ac:dyDescent="0.35">
      <c r="A28" t="s">
        <v>134</v>
      </c>
      <c r="B28" t="s">
        <v>135</v>
      </c>
      <c r="C28" t="s">
        <v>136</v>
      </c>
      <c r="D28" t="s">
        <v>25</v>
      </c>
      <c r="E28" s="1">
        <v>46049</v>
      </c>
      <c r="F28" s="2">
        <v>0.44994212962962965</v>
      </c>
      <c r="G28" t="s">
        <v>78</v>
      </c>
      <c r="H28" t="s">
        <v>79</v>
      </c>
      <c r="I28">
        <v>13</v>
      </c>
      <c r="J28">
        <v>167.82</v>
      </c>
      <c r="L28" t="s">
        <v>59</v>
      </c>
      <c r="M28" t="s">
        <v>56</v>
      </c>
    </row>
    <row r="29" spans="1:14" x14ac:dyDescent="0.35">
      <c r="A29" t="s">
        <v>137</v>
      </c>
      <c r="B29" t="s">
        <v>138</v>
      </c>
      <c r="C29" t="s">
        <v>139</v>
      </c>
      <c r="D29" t="s">
        <v>25</v>
      </c>
      <c r="E29" s="1">
        <v>45400</v>
      </c>
      <c r="F29" s="2">
        <v>0.79843750000000002</v>
      </c>
      <c r="G29" t="s">
        <v>26</v>
      </c>
      <c r="H29" t="s">
        <v>27</v>
      </c>
      <c r="J29">
        <v>642.78</v>
      </c>
      <c r="L29" t="s">
        <v>121</v>
      </c>
      <c r="M29" t="s">
        <v>56</v>
      </c>
      <c r="N29" t="s">
        <v>21</v>
      </c>
    </row>
    <row r="30" spans="1:14" x14ac:dyDescent="0.35">
      <c r="A30" t="s">
        <v>140</v>
      </c>
      <c r="B30" t="s">
        <v>141</v>
      </c>
      <c r="C30" t="s">
        <v>40</v>
      </c>
      <c r="D30" t="s">
        <v>41</v>
      </c>
      <c r="E30" s="1">
        <v>45725</v>
      </c>
      <c r="F30" s="2">
        <v>0.69984953703703701</v>
      </c>
      <c r="G30" t="s">
        <v>49</v>
      </c>
      <c r="H30" t="s">
        <v>50</v>
      </c>
      <c r="I30">
        <v>15</v>
      </c>
      <c r="J30">
        <v>200.14</v>
      </c>
      <c r="L30" t="s">
        <v>42</v>
      </c>
      <c r="M30" t="s">
        <v>43</v>
      </c>
      <c r="N30" t="s">
        <v>142</v>
      </c>
    </row>
    <row r="31" spans="1:14" x14ac:dyDescent="0.35">
      <c r="A31" t="s">
        <v>143</v>
      </c>
      <c r="B31" t="s">
        <v>144</v>
      </c>
      <c r="C31" t="s">
        <v>67</v>
      </c>
      <c r="D31" t="s">
        <v>16</v>
      </c>
      <c r="E31" s="1">
        <v>45733</v>
      </c>
      <c r="F31" s="2">
        <v>0.40378472222222223</v>
      </c>
      <c r="G31" t="s">
        <v>26</v>
      </c>
      <c r="H31" t="s">
        <v>27</v>
      </c>
      <c r="I31">
        <v>3</v>
      </c>
      <c r="L31" t="s">
        <v>42</v>
      </c>
      <c r="M31" t="s">
        <v>36</v>
      </c>
      <c r="N31" t="s">
        <v>142</v>
      </c>
    </row>
    <row r="32" spans="1:14" x14ac:dyDescent="0.35">
      <c r="A32" t="s">
        <v>145</v>
      </c>
      <c r="B32" t="s">
        <v>146</v>
      </c>
      <c r="C32" t="s">
        <v>70</v>
      </c>
      <c r="D32" t="s">
        <v>71</v>
      </c>
      <c r="E32" s="1">
        <v>44966</v>
      </c>
      <c r="F32" s="2">
        <v>0.55186342592592597</v>
      </c>
      <c r="G32" t="s">
        <v>17</v>
      </c>
      <c r="H32" t="s">
        <v>18</v>
      </c>
      <c r="I32">
        <v>11</v>
      </c>
      <c r="L32" t="s">
        <v>147</v>
      </c>
      <c r="M32" t="s">
        <v>73</v>
      </c>
      <c r="N32" t="s">
        <v>109</v>
      </c>
    </row>
    <row r="33" spans="1:14" x14ac:dyDescent="0.35">
      <c r="A33" t="s">
        <v>148</v>
      </c>
      <c r="B33" t="s">
        <v>149</v>
      </c>
      <c r="C33" t="s">
        <v>150</v>
      </c>
      <c r="D33" t="s">
        <v>25</v>
      </c>
      <c r="E33" s="1">
        <v>45682</v>
      </c>
      <c r="F33" s="2">
        <v>0.73526620370370366</v>
      </c>
      <c r="G33" t="s">
        <v>54</v>
      </c>
      <c r="H33" t="s">
        <v>18</v>
      </c>
      <c r="I33">
        <v>3</v>
      </c>
      <c r="J33">
        <v>854.05</v>
      </c>
      <c r="L33" t="s">
        <v>55</v>
      </c>
      <c r="M33" t="s">
        <v>29</v>
      </c>
      <c r="N33" t="s">
        <v>142</v>
      </c>
    </row>
    <row r="34" spans="1:14" x14ac:dyDescent="0.35">
      <c r="A34" t="s">
        <v>151</v>
      </c>
      <c r="B34" t="s">
        <v>152</v>
      </c>
      <c r="C34" t="s">
        <v>24</v>
      </c>
      <c r="D34" t="s">
        <v>25</v>
      </c>
      <c r="E34" s="1">
        <v>46354</v>
      </c>
      <c r="F34" s="2">
        <v>0.90530092592592593</v>
      </c>
      <c r="G34" t="s">
        <v>17</v>
      </c>
      <c r="H34" t="s">
        <v>18</v>
      </c>
      <c r="I34">
        <v>10</v>
      </c>
      <c r="J34">
        <v>973.6</v>
      </c>
      <c r="L34" t="s">
        <v>42</v>
      </c>
      <c r="M34" t="s">
        <v>56</v>
      </c>
      <c r="N34" t="s">
        <v>21</v>
      </c>
    </row>
    <row r="35" spans="1:14" x14ac:dyDescent="0.35">
      <c r="A35" t="s">
        <v>153</v>
      </c>
      <c r="B35" t="s">
        <v>53</v>
      </c>
      <c r="C35" t="s">
        <v>150</v>
      </c>
      <c r="D35" t="s">
        <v>25</v>
      </c>
      <c r="E35" s="1">
        <v>45818</v>
      </c>
      <c r="F35" s="2">
        <v>0.81505787037037036</v>
      </c>
      <c r="G35" t="s">
        <v>154</v>
      </c>
      <c r="H35" t="s">
        <v>34</v>
      </c>
      <c r="I35">
        <v>15</v>
      </c>
      <c r="J35">
        <v>416.7</v>
      </c>
      <c r="L35" t="s">
        <v>42</v>
      </c>
      <c r="M35" t="s">
        <v>155</v>
      </c>
      <c r="N35" t="s">
        <v>44</v>
      </c>
    </row>
    <row r="36" spans="1:14" x14ac:dyDescent="0.35">
      <c r="A36" t="s">
        <v>156</v>
      </c>
      <c r="B36" t="s">
        <v>157</v>
      </c>
      <c r="C36" t="s">
        <v>150</v>
      </c>
      <c r="D36" t="s">
        <v>25</v>
      </c>
      <c r="E36" s="1">
        <v>45615</v>
      </c>
      <c r="F36" s="2">
        <v>0.66273148148148153</v>
      </c>
      <c r="G36" t="s">
        <v>26</v>
      </c>
      <c r="H36" t="s">
        <v>27</v>
      </c>
      <c r="I36">
        <v>6</v>
      </c>
      <c r="J36">
        <v>582.1</v>
      </c>
      <c r="L36" t="s">
        <v>158</v>
      </c>
      <c r="M36" t="s">
        <v>29</v>
      </c>
    </row>
    <row r="37" spans="1:14" x14ac:dyDescent="0.35">
      <c r="A37" t="s">
        <v>159</v>
      </c>
      <c r="B37" t="s">
        <v>160</v>
      </c>
      <c r="C37" t="s">
        <v>24</v>
      </c>
      <c r="D37" t="s">
        <v>25</v>
      </c>
      <c r="E37" s="1">
        <v>46249</v>
      </c>
      <c r="F37" s="2">
        <v>0.65973379629629625</v>
      </c>
      <c r="G37" t="s">
        <v>17</v>
      </c>
      <c r="H37" t="s">
        <v>18</v>
      </c>
      <c r="I37">
        <v>7</v>
      </c>
      <c r="J37">
        <v>953.1</v>
      </c>
      <c r="L37" t="s">
        <v>59</v>
      </c>
      <c r="M37" t="s">
        <v>29</v>
      </c>
      <c r="N37" t="s">
        <v>133</v>
      </c>
    </row>
    <row r="38" spans="1:14" x14ac:dyDescent="0.35">
      <c r="A38" t="s">
        <v>161</v>
      </c>
      <c r="B38" t="s">
        <v>162</v>
      </c>
      <c r="C38" t="s">
        <v>15</v>
      </c>
      <c r="D38" t="s">
        <v>16</v>
      </c>
      <c r="E38" s="1">
        <v>45573</v>
      </c>
      <c r="F38" s="2">
        <v>0.8158333333333333</v>
      </c>
      <c r="G38" t="s">
        <v>163</v>
      </c>
      <c r="H38" t="s">
        <v>27</v>
      </c>
      <c r="I38">
        <v>12</v>
      </c>
      <c r="J38">
        <v>697.38</v>
      </c>
      <c r="L38" t="s">
        <v>59</v>
      </c>
      <c r="M38" t="s">
        <v>20</v>
      </c>
    </row>
    <row r="39" spans="1:14" x14ac:dyDescent="0.35">
      <c r="A39" t="s">
        <v>164</v>
      </c>
      <c r="B39" t="s">
        <v>165</v>
      </c>
      <c r="C39" t="s">
        <v>139</v>
      </c>
      <c r="D39" t="s">
        <v>25</v>
      </c>
      <c r="E39" s="1">
        <v>45020</v>
      </c>
      <c r="F39" s="2">
        <v>0.67967592592592596</v>
      </c>
      <c r="G39" t="s">
        <v>26</v>
      </c>
      <c r="H39" t="s">
        <v>27</v>
      </c>
      <c r="I39">
        <v>13</v>
      </c>
      <c r="J39">
        <v>741.82</v>
      </c>
      <c r="L39" t="s">
        <v>59</v>
      </c>
      <c r="M39" t="s">
        <v>155</v>
      </c>
      <c r="N39" t="s">
        <v>166</v>
      </c>
    </row>
    <row r="40" spans="1:14" x14ac:dyDescent="0.35">
      <c r="A40" t="s">
        <v>167</v>
      </c>
      <c r="B40" t="s">
        <v>168</v>
      </c>
      <c r="C40" t="s">
        <v>169</v>
      </c>
      <c r="D40" t="s">
        <v>170</v>
      </c>
      <c r="E40" s="1">
        <v>45078</v>
      </c>
      <c r="F40" s="2">
        <v>0.42350694444444442</v>
      </c>
      <c r="G40" t="s">
        <v>49</v>
      </c>
      <c r="H40" t="s">
        <v>50</v>
      </c>
      <c r="I40">
        <v>2</v>
      </c>
      <c r="J40">
        <v>189.03</v>
      </c>
      <c r="L40" t="s">
        <v>42</v>
      </c>
      <c r="M40" t="s">
        <v>171</v>
      </c>
      <c r="N40" t="s">
        <v>172</v>
      </c>
    </row>
    <row r="41" spans="1:14" x14ac:dyDescent="0.35">
      <c r="A41" t="s">
        <v>173</v>
      </c>
      <c r="B41" t="s">
        <v>174</v>
      </c>
      <c r="C41" t="s">
        <v>106</v>
      </c>
      <c r="D41" t="s">
        <v>107</v>
      </c>
      <c r="E41" s="1">
        <v>46091</v>
      </c>
      <c r="F41" s="2">
        <v>0.74104166666666671</v>
      </c>
      <c r="G41" t="s">
        <v>26</v>
      </c>
      <c r="H41" t="s">
        <v>27</v>
      </c>
      <c r="I41">
        <v>5</v>
      </c>
      <c r="J41">
        <v>527.12</v>
      </c>
      <c r="L41" t="s">
        <v>35</v>
      </c>
      <c r="M41" t="s">
        <v>108</v>
      </c>
      <c r="N41" t="s">
        <v>103</v>
      </c>
    </row>
    <row r="42" spans="1:14" x14ac:dyDescent="0.35">
      <c r="A42" t="s">
        <v>175</v>
      </c>
      <c r="B42" t="s">
        <v>176</v>
      </c>
      <c r="C42" t="s">
        <v>150</v>
      </c>
      <c r="D42" t="s">
        <v>25</v>
      </c>
      <c r="E42" s="1">
        <v>46334</v>
      </c>
      <c r="F42" s="2">
        <v>0.53530092592592593</v>
      </c>
      <c r="G42" t="s">
        <v>49</v>
      </c>
      <c r="H42" t="s">
        <v>50</v>
      </c>
      <c r="I42">
        <v>15</v>
      </c>
      <c r="J42">
        <v>188.63</v>
      </c>
      <c r="L42" t="s">
        <v>35</v>
      </c>
      <c r="M42" t="s">
        <v>155</v>
      </c>
    </row>
    <row r="43" spans="1:14" x14ac:dyDescent="0.35">
      <c r="A43" t="s">
        <v>177</v>
      </c>
      <c r="B43" t="s">
        <v>178</v>
      </c>
      <c r="C43" t="s">
        <v>179</v>
      </c>
      <c r="D43" t="s">
        <v>41</v>
      </c>
      <c r="E43" s="1">
        <v>45826</v>
      </c>
      <c r="F43" s="2">
        <v>0.65577546296296296</v>
      </c>
      <c r="G43" t="s">
        <v>78</v>
      </c>
      <c r="H43" t="s">
        <v>79</v>
      </c>
      <c r="I43">
        <v>9</v>
      </c>
      <c r="J43">
        <v>152.83000000000001</v>
      </c>
      <c r="L43" t="s">
        <v>180</v>
      </c>
      <c r="M43" t="s">
        <v>43</v>
      </c>
    </row>
    <row r="44" spans="1:14" x14ac:dyDescent="0.35">
      <c r="A44" t="s">
        <v>181</v>
      </c>
      <c r="B44" t="s">
        <v>132</v>
      </c>
      <c r="C44" t="s">
        <v>179</v>
      </c>
      <c r="D44" t="s">
        <v>41</v>
      </c>
      <c r="E44" s="1">
        <v>46303</v>
      </c>
      <c r="F44" s="2">
        <v>0.71027777777777779</v>
      </c>
      <c r="G44" t="s">
        <v>26</v>
      </c>
      <c r="H44" t="s">
        <v>27</v>
      </c>
      <c r="I44">
        <v>11</v>
      </c>
      <c r="J44">
        <v>563.45000000000005</v>
      </c>
      <c r="L44" t="s">
        <v>59</v>
      </c>
      <c r="M44" t="s">
        <v>90</v>
      </c>
      <c r="N44" t="s">
        <v>103</v>
      </c>
    </row>
    <row r="45" spans="1:14" x14ac:dyDescent="0.35">
      <c r="A45" t="s">
        <v>182</v>
      </c>
      <c r="B45" t="s">
        <v>183</v>
      </c>
      <c r="C45" t="s">
        <v>62</v>
      </c>
      <c r="D45" t="s">
        <v>63</v>
      </c>
      <c r="E45" s="1">
        <v>45770</v>
      </c>
      <c r="F45" s="2">
        <v>0.52945601851851853</v>
      </c>
      <c r="G45" t="s">
        <v>184</v>
      </c>
      <c r="H45" t="s">
        <v>50</v>
      </c>
      <c r="L45" t="s">
        <v>28</v>
      </c>
      <c r="M45" t="s">
        <v>80</v>
      </c>
      <c r="N45" t="s">
        <v>172</v>
      </c>
    </row>
    <row r="46" spans="1:14" x14ac:dyDescent="0.35">
      <c r="A46" t="s">
        <v>185</v>
      </c>
      <c r="B46" t="s">
        <v>186</v>
      </c>
      <c r="C46" t="s">
        <v>106</v>
      </c>
      <c r="D46" t="s">
        <v>107</v>
      </c>
      <c r="E46" s="1">
        <v>45311</v>
      </c>
      <c r="F46" s="2">
        <v>0.74202546296296301</v>
      </c>
      <c r="G46" t="s">
        <v>187</v>
      </c>
      <c r="H46" t="s">
        <v>79</v>
      </c>
      <c r="I46">
        <v>4</v>
      </c>
      <c r="J46">
        <v>129.83000000000001</v>
      </c>
      <c r="L46" t="s">
        <v>28</v>
      </c>
      <c r="M46" t="s">
        <v>112</v>
      </c>
      <c r="N46" t="s">
        <v>44</v>
      </c>
    </row>
    <row r="47" spans="1:14" x14ac:dyDescent="0.35">
      <c r="A47" t="s">
        <v>188</v>
      </c>
      <c r="B47" t="s">
        <v>189</v>
      </c>
      <c r="C47" t="s">
        <v>70</v>
      </c>
      <c r="D47" t="s">
        <v>71</v>
      </c>
      <c r="E47" s="1">
        <v>45159</v>
      </c>
      <c r="F47" s="2">
        <v>0.40408564814814812</v>
      </c>
      <c r="G47" t="s">
        <v>26</v>
      </c>
      <c r="H47" t="s">
        <v>27</v>
      </c>
      <c r="I47">
        <v>12</v>
      </c>
      <c r="J47">
        <v>691.62</v>
      </c>
      <c r="L47" t="s">
        <v>42</v>
      </c>
      <c r="M47" t="s">
        <v>190</v>
      </c>
      <c r="N47" t="s">
        <v>109</v>
      </c>
    </row>
    <row r="48" spans="1:14" x14ac:dyDescent="0.35">
      <c r="A48" t="s">
        <v>191</v>
      </c>
      <c r="B48" t="s">
        <v>192</v>
      </c>
      <c r="C48" t="s">
        <v>70</v>
      </c>
      <c r="D48" t="s">
        <v>71</v>
      </c>
      <c r="E48" s="1">
        <v>45776</v>
      </c>
      <c r="F48" s="2">
        <v>0.85575231481481484</v>
      </c>
      <c r="G48" t="s">
        <v>17</v>
      </c>
      <c r="H48" t="s">
        <v>18</v>
      </c>
      <c r="I48">
        <v>5</v>
      </c>
      <c r="J48">
        <v>1089.96</v>
      </c>
      <c r="L48" t="s">
        <v>42</v>
      </c>
      <c r="M48" t="s">
        <v>73</v>
      </c>
      <c r="N48" t="s">
        <v>133</v>
      </c>
    </row>
    <row r="49" spans="1:14" x14ac:dyDescent="0.35">
      <c r="A49" t="s">
        <v>193</v>
      </c>
      <c r="B49" t="s">
        <v>194</v>
      </c>
      <c r="C49" t="s">
        <v>195</v>
      </c>
      <c r="D49" t="s">
        <v>63</v>
      </c>
      <c r="E49" s="1">
        <v>46098</v>
      </c>
      <c r="F49" s="2">
        <v>0.49640046296296297</v>
      </c>
      <c r="G49" t="s">
        <v>196</v>
      </c>
      <c r="H49" t="s">
        <v>79</v>
      </c>
      <c r="J49">
        <v>172.89</v>
      </c>
      <c r="L49" t="s">
        <v>42</v>
      </c>
      <c r="M49" t="s">
        <v>64</v>
      </c>
      <c r="N49" t="s">
        <v>109</v>
      </c>
    </row>
    <row r="50" spans="1:14" x14ac:dyDescent="0.35">
      <c r="A50" t="s">
        <v>197</v>
      </c>
      <c r="B50" t="s">
        <v>198</v>
      </c>
      <c r="C50" t="s">
        <v>88</v>
      </c>
      <c r="D50" t="s">
        <v>41</v>
      </c>
      <c r="E50" s="1">
        <v>45828</v>
      </c>
      <c r="F50" s="2">
        <v>0.70728009259259261</v>
      </c>
      <c r="G50" t="s">
        <v>17</v>
      </c>
      <c r="H50" t="s">
        <v>18</v>
      </c>
      <c r="I50">
        <v>7</v>
      </c>
      <c r="J50">
        <v>1284.98</v>
      </c>
      <c r="L50" t="s">
        <v>55</v>
      </c>
      <c r="M50" t="s">
        <v>90</v>
      </c>
      <c r="N50" t="s">
        <v>142</v>
      </c>
    </row>
    <row r="51" spans="1:14" x14ac:dyDescent="0.35">
      <c r="A51" t="s">
        <v>199</v>
      </c>
      <c r="B51" t="s">
        <v>200</v>
      </c>
      <c r="C51" t="s">
        <v>67</v>
      </c>
      <c r="D51" t="s">
        <v>16</v>
      </c>
      <c r="E51" s="1">
        <v>45575</v>
      </c>
      <c r="F51" s="2">
        <v>0.89863425925925922</v>
      </c>
      <c r="G51" t="s">
        <v>49</v>
      </c>
      <c r="H51" t="s">
        <v>50</v>
      </c>
      <c r="J51">
        <v>277.3</v>
      </c>
      <c r="L51" t="s">
        <v>35</v>
      </c>
      <c r="M51" t="s">
        <v>20</v>
      </c>
      <c r="N51" t="s">
        <v>37</v>
      </c>
    </row>
    <row r="52" spans="1:14" x14ac:dyDescent="0.35">
      <c r="A52" t="s">
        <v>201</v>
      </c>
      <c r="B52" t="s">
        <v>202</v>
      </c>
      <c r="C52" t="s">
        <v>88</v>
      </c>
      <c r="D52" t="s">
        <v>41</v>
      </c>
      <c r="E52" s="1">
        <v>45527</v>
      </c>
      <c r="F52" s="2">
        <v>0.56052083333333336</v>
      </c>
      <c r="G52" t="s">
        <v>26</v>
      </c>
      <c r="H52" t="s">
        <v>27</v>
      </c>
      <c r="I52">
        <v>10</v>
      </c>
      <c r="J52">
        <v>534.02</v>
      </c>
      <c r="L52" t="s">
        <v>89</v>
      </c>
      <c r="M52" t="s">
        <v>90</v>
      </c>
      <c r="N52" t="s">
        <v>44</v>
      </c>
    </row>
    <row r="53" spans="1:14" x14ac:dyDescent="0.35">
      <c r="A53" t="s">
        <v>203</v>
      </c>
      <c r="B53" t="s">
        <v>204</v>
      </c>
      <c r="C53" t="s">
        <v>205</v>
      </c>
      <c r="D53" t="s">
        <v>170</v>
      </c>
      <c r="E53" s="1">
        <v>45449</v>
      </c>
      <c r="F53" s="2">
        <v>0.8541319444444444</v>
      </c>
      <c r="G53" t="s">
        <v>33</v>
      </c>
      <c r="H53" t="s">
        <v>34</v>
      </c>
      <c r="I53">
        <v>3</v>
      </c>
      <c r="L53" t="s">
        <v>28</v>
      </c>
      <c r="M53" t="s">
        <v>171</v>
      </c>
    </row>
    <row r="54" spans="1:14" x14ac:dyDescent="0.35">
      <c r="A54" t="s">
        <v>206</v>
      </c>
      <c r="B54" t="s">
        <v>207</v>
      </c>
      <c r="C54" t="s">
        <v>77</v>
      </c>
      <c r="D54" t="s">
        <v>63</v>
      </c>
      <c r="E54" s="1">
        <v>45412</v>
      </c>
      <c r="F54" s="2">
        <v>0.72402777777777783</v>
      </c>
      <c r="G54" t="s">
        <v>33</v>
      </c>
      <c r="H54" t="s">
        <v>34</v>
      </c>
      <c r="I54">
        <v>5</v>
      </c>
      <c r="L54" t="s">
        <v>42</v>
      </c>
      <c r="M54" t="s">
        <v>80</v>
      </c>
      <c r="N54" t="s">
        <v>166</v>
      </c>
    </row>
    <row r="55" spans="1:14" x14ac:dyDescent="0.35">
      <c r="A55" t="s">
        <v>208</v>
      </c>
      <c r="B55" t="s">
        <v>209</v>
      </c>
      <c r="C55" t="s">
        <v>24</v>
      </c>
      <c r="D55" t="s">
        <v>25</v>
      </c>
      <c r="E55" s="1">
        <v>45375</v>
      </c>
      <c r="F55" s="2">
        <v>0.71994212962962967</v>
      </c>
      <c r="G55" t="s">
        <v>26</v>
      </c>
      <c r="H55" t="s">
        <v>27</v>
      </c>
      <c r="I55">
        <v>15</v>
      </c>
      <c r="J55">
        <v>491.83</v>
      </c>
      <c r="L55" t="s">
        <v>121</v>
      </c>
      <c r="M55" t="s">
        <v>29</v>
      </c>
    </row>
    <row r="56" spans="1:14" x14ac:dyDescent="0.35">
      <c r="A56" t="s">
        <v>210</v>
      </c>
      <c r="B56" t="s">
        <v>211</v>
      </c>
      <c r="C56" t="s">
        <v>67</v>
      </c>
      <c r="D56" t="s">
        <v>16</v>
      </c>
      <c r="E56" s="1">
        <v>46014</v>
      </c>
      <c r="F56" s="2">
        <v>0.8821296296296296</v>
      </c>
      <c r="G56" t="s">
        <v>78</v>
      </c>
      <c r="H56" t="s">
        <v>79</v>
      </c>
      <c r="I56">
        <v>5</v>
      </c>
      <c r="J56">
        <v>145.4</v>
      </c>
      <c r="L56" t="s">
        <v>55</v>
      </c>
      <c r="M56" t="s">
        <v>20</v>
      </c>
      <c r="N56" t="s">
        <v>44</v>
      </c>
    </row>
    <row r="57" spans="1:14" x14ac:dyDescent="0.35">
      <c r="A57" t="s">
        <v>212</v>
      </c>
      <c r="B57" t="s">
        <v>213</v>
      </c>
      <c r="C57" t="s">
        <v>67</v>
      </c>
      <c r="D57" t="s">
        <v>16</v>
      </c>
      <c r="E57" s="1">
        <v>45111</v>
      </c>
      <c r="F57" s="2">
        <v>0.34483796296296299</v>
      </c>
      <c r="G57" t="s">
        <v>17</v>
      </c>
      <c r="H57" t="s">
        <v>18</v>
      </c>
      <c r="I57">
        <v>11</v>
      </c>
      <c r="J57">
        <v>931.08</v>
      </c>
      <c r="L57" t="s">
        <v>42</v>
      </c>
      <c r="M57" t="s">
        <v>20</v>
      </c>
      <c r="N57" t="s">
        <v>44</v>
      </c>
    </row>
    <row r="58" spans="1:14" x14ac:dyDescent="0.35">
      <c r="A58" t="s">
        <v>214</v>
      </c>
      <c r="B58" t="s">
        <v>215</v>
      </c>
      <c r="C58" t="s">
        <v>98</v>
      </c>
      <c r="D58" t="s">
        <v>99</v>
      </c>
      <c r="E58" s="1">
        <v>46253</v>
      </c>
      <c r="F58" s="2">
        <v>0.78644675925925922</v>
      </c>
      <c r="G58" t="s">
        <v>33</v>
      </c>
      <c r="H58" t="s">
        <v>34</v>
      </c>
      <c r="I58">
        <v>2</v>
      </c>
      <c r="J58">
        <v>509.25</v>
      </c>
      <c r="L58" t="s">
        <v>28</v>
      </c>
      <c r="M58" t="s">
        <v>216</v>
      </c>
      <c r="N58" t="s">
        <v>109</v>
      </c>
    </row>
    <row r="59" spans="1:14" x14ac:dyDescent="0.35">
      <c r="A59" t="s">
        <v>217</v>
      </c>
      <c r="B59" t="s">
        <v>218</v>
      </c>
      <c r="C59" t="s">
        <v>67</v>
      </c>
      <c r="D59" t="s">
        <v>16</v>
      </c>
      <c r="E59" s="1">
        <v>46129</v>
      </c>
      <c r="F59" s="2">
        <v>0.61187499999999995</v>
      </c>
      <c r="G59" t="s">
        <v>78</v>
      </c>
      <c r="H59" t="s">
        <v>79</v>
      </c>
      <c r="I59">
        <v>5</v>
      </c>
      <c r="L59" t="s">
        <v>28</v>
      </c>
      <c r="M59" t="s">
        <v>20</v>
      </c>
    </row>
    <row r="60" spans="1:14" x14ac:dyDescent="0.35">
      <c r="A60" t="s">
        <v>219</v>
      </c>
      <c r="B60" t="s">
        <v>220</v>
      </c>
      <c r="C60" t="s">
        <v>40</v>
      </c>
      <c r="D60" t="s">
        <v>41</v>
      </c>
      <c r="E60" s="1">
        <v>45742</v>
      </c>
      <c r="F60" s="2">
        <v>0.46381944444444445</v>
      </c>
      <c r="G60" t="s">
        <v>78</v>
      </c>
      <c r="H60" t="s">
        <v>79</v>
      </c>
      <c r="J60">
        <v>167.96</v>
      </c>
      <c r="L60" t="s">
        <v>19</v>
      </c>
      <c r="M60" t="s">
        <v>90</v>
      </c>
    </row>
    <row r="61" spans="1:14" x14ac:dyDescent="0.35">
      <c r="A61" t="s">
        <v>221</v>
      </c>
      <c r="B61" t="s">
        <v>222</v>
      </c>
      <c r="C61" t="s">
        <v>24</v>
      </c>
      <c r="D61" t="s">
        <v>25</v>
      </c>
      <c r="E61" s="1">
        <v>45229</v>
      </c>
      <c r="F61" s="2">
        <v>0.53760416666666666</v>
      </c>
      <c r="G61" t="s">
        <v>26</v>
      </c>
      <c r="H61" t="s">
        <v>27</v>
      </c>
      <c r="I61">
        <v>13</v>
      </c>
      <c r="J61">
        <v>678.32</v>
      </c>
      <c r="L61" t="s">
        <v>55</v>
      </c>
      <c r="M61" t="s">
        <v>29</v>
      </c>
    </row>
    <row r="62" spans="1:14" x14ac:dyDescent="0.35">
      <c r="A62" t="s">
        <v>223</v>
      </c>
      <c r="B62" t="s">
        <v>224</v>
      </c>
      <c r="C62" t="s">
        <v>136</v>
      </c>
      <c r="D62" t="s">
        <v>25</v>
      </c>
      <c r="E62" s="1">
        <v>45057</v>
      </c>
      <c r="F62" s="2">
        <v>0.65929398148148144</v>
      </c>
      <c r="G62" t="s">
        <v>93</v>
      </c>
      <c r="H62" t="s">
        <v>50</v>
      </c>
      <c r="I62">
        <v>8</v>
      </c>
      <c r="J62">
        <v>280</v>
      </c>
      <c r="L62" t="s">
        <v>55</v>
      </c>
      <c r="M62" t="s">
        <v>29</v>
      </c>
    </row>
    <row r="63" spans="1:14" x14ac:dyDescent="0.35">
      <c r="A63" t="s">
        <v>225</v>
      </c>
      <c r="B63" t="s">
        <v>226</v>
      </c>
      <c r="C63" t="s">
        <v>169</v>
      </c>
      <c r="D63" t="s">
        <v>170</v>
      </c>
      <c r="E63" s="1">
        <v>46332</v>
      </c>
      <c r="F63" s="2">
        <v>0.65692129629629625</v>
      </c>
      <c r="G63" t="s">
        <v>78</v>
      </c>
      <c r="H63" t="s">
        <v>79</v>
      </c>
      <c r="L63" t="s">
        <v>59</v>
      </c>
      <c r="M63" t="s">
        <v>171</v>
      </c>
      <c r="N63" t="s">
        <v>133</v>
      </c>
    </row>
    <row r="64" spans="1:14" x14ac:dyDescent="0.35">
      <c r="A64" t="s">
        <v>227</v>
      </c>
      <c r="B64" t="s">
        <v>228</v>
      </c>
      <c r="C64" t="s">
        <v>98</v>
      </c>
      <c r="D64" t="s">
        <v>99</v>
      </c>
      <c r="E64" s="1">
        <v>45130</v>
      </c>
      <c r="F64" s="2">
        <v>0.90394675925925927</v>
      </c>
      <c r="G64" t="s">
        <v>49</v>
      </c>
      <c r="H64" t="s">
        <v>50</v>
      </c>
      <c r="I64">
        <v>4</v>
      </c>
      <c r="J64">
        <v>273.69</v>
      </c>
      <c r="L64" t="s">
        <v>42</v>
      </c>
      <c r="M64" t="s">
        <v>122</v>
      </c>
      <c r="N64" t="s">
        <v>37</v>
      </c>
    </row>
    <row r="65" spans="1:14" x14ac:dyDescent="0.35">
      <c r="A65" t="s">
        <v>229</v>
      </c>
      <c r="B65" t="s">
        <v>230</v>
      </c>
      <c r="C65" t="s">
        <v>77</v>
      </c>
      <c r="D65" t="s">
        <v>63</v>
      </c>
      <c r="E65" s="1">
        <v>45113</v>
      </c>
      <c r="F65" s="2">
        <v>0.39381944444444444</v>
      </c>
      <c r="G65" t="s">
        <v>33</v>
      </c>
      <c r="H65" t="s">
        <v>34</v>
      </c>
      <c r="I65">
        <v>9</v>
      </c>
      <c r="L65" t="s">
        <v>59</v>
      </c>
      <c r="M65" t="s">
        <v>80</v>
      </c>
      <c r="N65" t="s">
        <v>231</v>
      </c>
    </row>
    <row r="66" spans="1:14" x14ac:dyDescent="0.35">
      <c r="A66" t="s">
        <v>232</v>
      </c>
      <c r="B66" t="s">
        <v>233</v>
      </c>
      <c r="C66" t="s">
        <v>128</v>
      </c>
      <c r="D66" t="s">
        <v>63</v>
      </c>
      <c r="E66" s="1">
        <v>45139</v>
      </c>
      <c r="F66" s="2">
        <v>0.44618055555555558</v>
      </c>
      <c r="G66" t="s">
        <v>26</v>
      </c>
      <c r="H66" t="s">
        <v>27</v>
      </c>
      <c r="I66">
        <v>6</v>
      </c>
      <c r="J66">
        <v>590.27</v>
      </c>
      <c r="L66" t="s">
        <v>28</v>
      </c>
      <c r="M66" t="s">
        <v>64</v>
      </c>
      <c r="N66" t="s">
        <v>21</v>
      </c>
    </row>
    <row r="67" spans="1:14" x14ac:dyDescent="0.35">
      <c r="A67" t="s">
        <v>234</v>
      </c>
      <c r="B67" t="s">
        <v>235</v>
      </c>
      <c r="C67" t="s">
        <v>62</v>
      </c>
      <c r="D67" t="s">
        <v>63</v>
      </c>
      <c r="E67" s="1">
        <v>46366</v>
      </c>
      <c r="F67" s="2">
        <v>0.55694444444444446</v>
      </c>
      <c r="G67" t="s">
        <v>26</v>
      </c>
      <c r="H67" t="s">
        <v>27</v>
      </c>
      <c r="I67">
        <v>10</v>
      </c>
      <c r="J67">
        <v>500.88</v>
      </c>
      <c r="L67" t="s">
        <v>55</v>
      </c>
      <c r="M67" t="s">
        <v>80</v>
      </c>
      <c r="N67" t="s">
        <v>95</v>
      </c>
    </row>
    <row r="68" spans="1:14" x14ac:dyDescent="0.35">
      <c r="A68" t="s">
        <v>236</v>
      </c>
      <c r="B68" t="s">
        <v>237</v>
      </c>
      <c r="C68" t="s">
        <v>179</v>
      </c>
      <c r="D68" t="s">
        <v>41</v>
      </c>
      <c r="E68" s="1">
        <v>45034</v>
      </c>
      <c r="F68" s="2">
        <v>0.45045138888888892</v>
      </c>
      <c r="G68" t="s">
        <v>120</v>
      </c>
      <c r="H68" t="s">
        <v>18</v>
      </c>
      <c r="I68">
        <v>5</v>
      </c>
      <c r="J68">
        <v>1012.01</v>
      </c>
      <c r="L68" t="s">
        <v>59</v>
      </c>
      <c r="M68" t="s">
        <v>90</v>
      </c>
      <c r="N68" t="s">
        <v>37</v>
      </c>
    </row>
    <row r="69" spans="1:14" x14ac:dyDescent="0.35">
      <c r="A69" t="s">
        <v>238</v>
      </c>
      <c r="B69" t="s">
        <v>239</v>
      </c>
      <c r="C69" t="s">
        <v>77</v>
      </c>
      <c r="D69" t="s">
        <v>63</v>
      </c>
      <c r="E69" s="1">
        <v>45020</v>
      </c>
      <c r="F69" s="2">
        <v>0.60975694444444439</v>
      </c>
      <c r="G69" t="s">
        <v>17</v>
      </c>
      <c r="H69" t="s">
        <v>18</v>
      </c>
      <c r="I69">
        <v>4</v>
      </c>
      <c r="J69">
        <v>1182.08</v>
      </c>
      <c r="L69" t="s">
        <v>240</v>
      </c>
      <c r="M69" t="s">
        <v>241</v>
      </c>
    </row>
    <row r="70" spans="1:14" x14ac:dyDescent="0.35">
      <c r="A70" t="s">
        <v>242</v>
      </c>
      <c r="B70" t="s">
        <v>243</v>
      </c>
      <c r="C70" t="s">
        <v>40</v>
      </c>
      <c r="D70" t="s">
        <v>41</v>
      </c>
      <c r="E70" s="1">
        <v>45740</v>
      </c>
      <c r="F70" s="2">
        <v>0.58436342592592594</v>
      </c>
      <c r="G70" t="s">
        <v>17</v>
      </c>
      <c r="H70" t="s">
        <v>18</v>
      </c>
      <c r="I70">
        <v>10</v>
      </c>
      <c r="J70">
        <v>1002.21</v>
      </c>
      <c r="L70" t="s">
        <v>42</v>
      </c>
      <c r="M70" t="s">
        <v>90</v>
      </c>
      <c r="N70" t="s">
        <v>125</v>
      </c>
    </row>
    <row r="71" spans="1:14" x14ac:dyDescent="0.35">
      <c r="A71" t="s">
        <v>244</v>
      </c>
      <c r="B71" t="s">
        <v>53</v>
      </c>
      <c r="C71" t="s">
        <v>70</v>
      </c>
      <c r="D71" t="s">
        <v>71</v>
      </c>
      <c r="E71" s="1">
        <v>45143</v>
      </c>
      <c r="F71" s="2">
        <v>0.60931712962962958</v>
      </c>
      <c r="G71" t="s">
        <v>49</v>
      </c>
      <c r="H71" t="s">
        <v>50</v>
      </c>
      <c r="J71">
        <v>258.04000000000002</v>
      </c>
      <c r="L71" t="s">
        <v>35</v>
      </c>
      <c r="M71" t="s">
        <v>73</v>
      </c>
      <c r="N71" t="s">
        <v>37</v>
      </c>
    </row>
    <row r="72" spans="1:14" x14ac:dyDescent="0.35">
      <c r="A72" t="s">
        <v>245</v>
      </c>
      <c r="B72" t="s">
        <v>246</v>
      </c>
      <c r="C72" t="s">
        <v>139</v>
      </c>
      <c r="D72" t="s">
        <v>25</v>
      </c>
      <c r="E72" s="1">
        <v>45137</v>
      </c>
      <c r="F72" s="2">
        <v>0.50846064814814818</v>
      </c>
      <c r="G72" t="s">
        <v>49</v>
      </c>
      <c r="H72" t="s">
        <v>50</v>
      </c>
      <c r="I72">
        <v>13</v>
      </c>
      <c r="J72">
        <v>195.49</v>
      </c>
      <c r="L72" t="s">
        <v>42</v>
      </c>
      <c r="M72" t="s">
        <v>56</v>
      </c>
      <c r="N72" t="s">
        <v>133</v>
      </c>
    </row>
    <row r="73" spans="1:14" x14ac:dyDescent="0.35">
      <c r="A73" t="s">
        <v>247</v>
      </c>
      <c r="B73" t="s">
        <v>248</v>
      </c>
      <c r="C73" t="s">
        <v>77</v>
      </c>
      <c r="D73" t="s">
        <v>63</v>
      </c>
      <c r="E73" s="1">
        <v>46220</v>
      </c>
      <c r="F73" s="2">
        <v>0.84556712962962965</v>
      </c>
      <c r="G73" t="s">
        <v>17</v>
      </c>
      <c r="H73" t="s">
        <v>18</v>
      </c>
      <c r="I73">
        <v>2</v>
      </c>
      <c r="J73">
        <v>1025.96</v>
      </c>
      <c r="L73" t="s">
        <v>55</v>
      </c>
      <c r="M73" t="s">
        <v>241</v>
      </c>
      <c r="N73" t="s">
        <v>249</v>
      </c>
    </row>
    <row r="74" spans="1:14" x14ac:dyDescent="0.35">
      <c r="A74" t="s">
        <v>250</v>
      </c>
      <c r="B74" t="s">
        <v>251</v>
      </c>
      <c r="C74" t="s">
        <v>47</v>
      </c>
      <c r="D74" t="s">
        <v>48</v>
      </c>
      <c r="E74" s="1">
        <v>46097</v>
      </c>
      <c r="F74" s="2">
        <v>0.56840277777777781</v>
      </c>
      <c r="G74" t="s">
        <v>49</v>
      </c>
      <c r="H74" t="s">
        <v>50</v>
      </c>
      <c r="I74">
        <v>1</v>
      </c>
      <c r="J74">
        <v>265.20999999999998</v>
      </c>
      <c r="L74" t="s">
        <v>28</v>
      </c>
      <c r="M74" t="s">
        <v>51</v>
      </c>
      <c r="N74" t="s">
        <v>166</v>
      </c>
    </row>
    <row r="75" spans="1:14" x14ac:dyDescent="0.35">
      <c r="A75" t="s">
        <v>252</v>
      </c>
      <c r="B75" t="s">
        <v>253</v>
      </c>
      <c r="C75" t="s">
        <v>98</v>
      </c>
      <c r="D75" t="s">
        <v>99</v>
      </c>
      <c r="E75" s="1">
        <v>45672</v>
      </c>
      <c r="F75" s="2">
        <v>0.51696759259259262</v>
      </c>
      <c r="G75" t="s">
        <v>33</v>
      </c>
      <c r="H75" t="s">
        <v>34</v>
      </c>
      <c r="I75">
        <v>1</v>
      </c>
      <c r="J75">
        <v>449.46</v>
      </c>
      <c r="L75" t="s">
        <v>55</v>
      </c>
      <c r="M75" t="s">
        <v>216</v>
      </c>
    </row>
    <row r="76" spans="1:14" x14ac:dyDescent="0.35">
      <c r="A76" t="s">
        <v>254</v>
      </c>
      <c r="B76" t="s">
        <v>255</v>
      </c>
      <c r="C76" t="s">
        <v>139</v>
      </c>
      <c r="D76" t="s">
        <v>25</v>
      </c>
      <c r="E76" s="1">
        <v>45093</v>
      </c>
      <c r="F76" s="2">
        <v>0.55533564814814818</v>
      </c>
      <c r="G76" t="s">
        <v>78</v>
      </c>
      <c r="H76" t="s">
        <v>79</v>
      </c>
      <c r="I76">
        <v>12</v>
      </c>
      <c r="J76">
        <v>143.22</v>
      </c>
      <c r="L76" t="s">
        <v>42</v>
      </c>
      <c r="M76" t="s">
        <v>155</v>
      </c>
    </row>
    <row r="77" spans="1:14" x14ac:dyDescent="0.35">
      <c r="A77" t="s">
        <v>256</v>
      </c>
      <c r="B77" t="s">
        <v>257</v>
      </c>
      <c r="C77" t="s">
        <v>40</v>
      </c>
      <c r="D77" t="s">
        <v>41</v>
      </c>
      <c r="E77" s="1">
        <v>45296</v>
      </c>
      <c r="F77" s="2">
        <v>0.57605324074074071</v>
      </c>
      <c r="G77" t="s">
        <v>26</v>
      </c>
      <c r="H77" t="s">
        <v>27</v>
      </c>
      <c r="I77">
        <v>3</v>
      </c>
      <c r="J77">
        <v>568.74</v>
      </c>
      <c r="L77" t="s">
        <v>55</v>
      </c>
      <c r="M77" t="s">
        <v>43</v>
      </c>
    </row>
    <row r="78" spans="1:14" x14ac:dyDescent="0.35">
      <c r="A78" t="s">
        <v>258</v>
      </c>
      <c r="B78" t="s">
        <v>259</v>
      </c>
      <c r="C78" t="s">
        <v>98</v>
      </c>
      <c r="D78" t="s">
        <v>99</v>
      </c>
      <c r="E78" s="1">
        <v>45242</v>
      </c>
      <c r="F78" s="2">
        <v>0.45398148148148149</v>
      </c>
      <c r="G78" t="s">
        <v>49</v>
      </c>
      <c r="H78" t="s">
        <v>50</v>
      </c>
      <c r="I78">
        <v>3</v>
      </c>
      <c r="J78">
        <v>180.81</v>
      </c>
      <c r="L78" t="s">
        <v>28</v>
      </c>
      <c r="M78" t="s">
        <v>122</v>
      </c>
    </row>
    <row r="79" spans="1:14" x14ac:dyDescent="0.35">
      <c r="A79" t="s">
        <v>260</v>
      </c>
      <c r="B79" t="s">
        <v>261</v>
      </c>
      <c r="C79" t="s">
        <v>128</v>
      </c>
      <c r="D79" t="s">
        <v>63</v>
      </c>
      <c r="E79" s="1">
        <v>45324</v>
      </c>
      <c r="F79" s="2">
        <v>0.77532407407407411</v>
      </c>
      <c r="G79" t="s">
        <v>78</v>
      </c>
      <c r="H79" t="s">
        <v>79</v>
      </c>
      <c r="I79">
        <v>13</v>
      </c>
      <c r="J79">
        <v>159.56</v>
      </c>
      <c r="L79" t="s">
        <v>35</v>
      </c>
      <c r="M79" t="s">
        <v>64</v>
      </c>
    </row>
    <row r="80" spans="1:14" x14ac:dyDescent="0.35">
      <c r="A80" t="s">
        <v>262</v>
      </c>
      <c r="B80" t="s">
        <v>263</v>
      </c>
      <c r="C80" t="s">
        <v>136</v>
      </c>
      <c r="D80" t="s">
        <v>25</v>
      </c>
      <c r="E80" s="1">
        <v>45510</v>
      </c>
      <c r="F80" s="2">
        <v>0.84047453703703701</v>
      </c>
      <c r="G80" t="s">
        <v>78</v>
      </c>
      <c r="H80" t="s">
        <v>79</v>
      </c>
      <c r="I80">
        <v>3</v>
      </c>
      <c r="J80">
        <v>126.88</v>
      </c>
      <c r="L80" t="s">
        <v>35</v>
      </c>
      <c r="M80" t="s">
        <v>29</v>
      </c>
    </row>
    <row r="81" spans="1:14" x14ac:dyDescent="0.35">
      <c r="A81" t="s">
        <v>264</v>
      </c>
      <c r="B81" t="s">
        <v>265</v>
      </c>
      <c r="C81" t="s">
        <v>40</v>
      </c>
      <c r="D81" t="s">
        <v>41</v>
      </c>
      <c r="E81" s="1">
        <v>44984</v>
      </c>
      <c r="F81" s="2">
        <v>0.4123263888888889</v>
      </c>
      <c r="G81" t="s">
        <v>266</v>
      </c>
      <c r="H81" t="s">
        <v>34</v>
      </c>
      <c r="I81">
        <v>3</v>
      </c>
      <c r="L81" t="s">
        <v>42</v>
      </c>
      <c r="M81" t="s">
        <v>90</v>
      </c>
      <c r="N81" t="s">
        <v>95</v>
      </c>
    </row>
    <row r="82" spans="1:14" x14ac:dyDescent="0.35">
      <c r="A82" t="s">
        <v>267</v>
      </c>
      <c r="B82" t="s">
        <v>268</v>
      </c>
      <c r="C82" t="s">
        <v>139</v>
      </c>
      <c r="D82" t="s">
        <v>25</v>
      </c>
      <c r="E82" s="1">
        <v>46173</v>
      </c>
      <c r="F82" s="2">
        <v>0.40923611111111113</v>
      </c>
      <c r="G82" t="s">
        <v>26</v>
      </c>
      <c r="H82" t="s">
        <v>27</v>
      </c>
      <c r="I82">
        <v>1</v>
      </c>
      <c r="J82">
        <v>671.69</v>
      </c>
      <c r="L82" t="s">
        <v>59</v>
      </c>
      <c r="M82" t="s">
        <v>29</v>
      </c>
      <c r="N82" t="s">
        <v>21</v>
      </c>
    </row>
    <row r="83" spans="1:14" x14ac:dyDescent="0.35">
      <c r="A83" t="s">
        <v>269</v>
      </c>
      <c r="B83" t="s">
        <v>270</v>
      </c>
      <c r="C83" t="s">
        <v>106</v>
      </c>
      <c r="D83" t="s">
        <v>107</v>
      </c>
      <c r="E83" s="1">
        <v>46186</v>
      </c>
      <c r="F83" s="2">
        <v>0.48363425925925924</v>
      </c>
      <c r="G83" t="s">
        <v>26</v>
      </c>
      <c r="H83" t="s">
        <v>27</v>
      </c>
      <c r="I83">
        <v>2</v>
      </c>
      <c r="J83">
        <v>588.17999999999995</v>
      </c>
      <c r="L83" t="s">
        <v>59</v>
      </c>
      <c r="M83" t="s">
        <v>112</v>
      </c>
      <c r="N83" t="s">
        <v>21</v>
      </c>
    </row>
    <row r="84" spans="1:14" x14ac:dyDescent="0.35">
      <c r="A84" t="s">
        <v>271</v>
      </c>
      <c r="B84" t="s">
        <v>61</v>
      </c>
      <c r="C84" t="s">
        <v>205</v>
      </c>
      <c r="D84" t="s">
        <v>170</v>
      </c>
      <c r="E84" s="1">
        <v>45658</v>
      </c>
      <c r="F84" s="2">
        <v>0.55261574074074071</v>
      </c>
      <c r="G84" t="s">
        <v>17</v>
      </c>
      <c r="H84" t="s">
        <v>18</v>
      </c>
      <c r="I84">
        <v>12</v>
      </c>
      <c r="J84">
        <v>866.7</v>
      </c>
      <c r="L84" t="s">
        <v>28</v>
      </c>
      <c r="M84" t="s">
        <v>272</v>
      </c>
      <c r="N84" t="s">
        <v>95</v>
      </c>
    </row>
    <row r="85" spans="1:14" x14ac:dyDescent="0.35">
      <c r="A85" t="s">
        <v>273</v>
      </c>
      <c r="B85" t="s">
        <v>274</v>
      </c>
      <c r="C85" t="s">
        <v>70</v>
      </c>
      <c r="D85" t="s">
        <v>71</v>
      </c>
      <c r="E85" s="1">
        <v>45002</v>
      </c>
      <c r="F85" s="2">
        <v>0.46030092592592592</v>
      </c>
      <c r="G85" t="s">
        <v>26</v>
      </c>
      <c r="H85" t="s">
        <v>27</v>
      </c>
      <c r="I85">
        <v>6</v>
      </c>
      <c r="J85">
        <v>634.62</v>
      </c>
      <c r="L85" t="s">
        <v>117</v>
      </c>
      <c r="M85" t="s">
        <v>73</v>
      </c>
    </row>
    <row r="86" spans="1:14" x14ac:dyDescent="0.35">
      <c r="A86" t="s">
        <v>275</v>
      </c>
      <c r="B86" t="s">
        <v>276</v>
      </c>
      <c r="C86" t="s">
        <v>205</v>
      </c>
      <c r="D86" t="s">
        <v>170</v>
      </c>
      <c r="E86" s="1">
        <v>45680</v>
      </c>
      <c r="F86" s="2">
        <v>0.61629629629629634</v>
      </c>
      <c r="G86" t="s">
        <v>78</v>
      </c>
      <c r="H86" t="s">
        <v>79</v>
      </c>
      <c r="I86">
        <v>3</v>
      </c>
      <c r="J86">
        <v>157.31</v>
      </c>
      <c r="L86" t="s">
        <v>59</v>
      </c>
      <c r="M86" t="s">
        <v>272</v>
      </c>
      <c r="N86" t="s">
        <v>231</v>
      </c>
    </row>
    <row r="87" spans="1:14" x14ac:dyDescent="0.35">
      <c r="A87" t="s">
        <v>277</v>
      </c>
      <c r="B87" t="s">
        <v>278</v>
      </c>
      <c r="C87" t="s">
        <v>15</v>
      </c>
      <c r="D87" t="s">
        <v>16</v>
      </c>
      <c r="E87" s="1">
        <v>45598</v>
      </c>
      <c r="F87" s="2">
        <v>0.5198842592592593</v>
      </c>
      <c r="G87" t="s">
        <v>78</v>
      </c>
      <c r="H87" t="s">
        <v>79</v>
      </c>
      <c r="I87">
        <v>8</v>
      </c>
      <c r="J87">
        <v>123.18</v>
      </c>
      <c r="L87" t="s">
        <v>28</v>
      </c>
      <c r="M87" t="s">
        <v>20</v>
      </c>
    </row>
    <row r="88" spans="1:14" x14ac:dyDescent="0.35">
      <c r="A88" t="s">
        <v>279</v>
      </c>
      <c r="B88" t="s">
        <v>280</v>
      </c>
      <c r="C88" t="s">
        <v>62</v>
      </c>
      <c r="D88" t="s">
        <v>63</v>
      </c>
      <c r="E88" s="1">
        <v>45219</v>
      </c>
      <c r="F88" s="2">
        <v>0.33893518518518517</v>
      </c>
      <c r="G88" t="s">
        <v>281</v>
      </c>
      <c r="H88" t="s">
        <v>27</v>
      </c>
      <c r="I88">
        <v>6</v>
      </c>
      <c r="J88">
        <v>764.84</v>
      </c>
      <c r="L88" t="s">
        <v>55</v>
      </c>
      <c r="M88" t="s">
        <v>241</v>
      </c>
      <c r="N88" t="s">
        <v>30</v>
      </c>
    </row>
    <row r="89" spans="1:14" x14ac:dyDescent="0.35">
      <c r="A89" t="s">
        <v>282</v>
      </c>
      <c r="B89" t="s">
        <v>283</v>
      </c>
      <c r="C89" t="s">
        <v>169</v>
      </c>
      <c r="D89" t="s">
        <v>170</v>
      </c>
      <c r="E89" s="1">
        <v>46257</v>
      </c>
      <c r="F89" s="2">
        <v>0.4632060185185185</v>
      </c>
      <c r="G89" t="s">
        <v>163</v>
      </c>
      <c r="H89" t="s">
        <v>27</v>
      </c>
      <c r="I89">
        <v>7</v>
      </c>
      <c r="J89">
        <v>515.33000000000004</v>
      </c>
      <c r="L89" t="s">
        <v>28</v>
      </c>
      <c r="M89" t="s">
        <v>171</v>
      </c>
      <c r="N89" t="s">
        <v>103</v>
      </c>
    </row>
    <row r="90" spans="1:14" x14ac:dyDescent="0.35">
      <c r="A90" t="s">
        <v>284</v>
      </c>
      <c r="B90" t="s">
        <v>285</v>
      </c>
      <c r="C90" t="s">
        <v>150</v>
      </c>
      <c r="D90" t="s">
        <v>25</v>
      </c>
      <c r="E90" s="1">
        <v>46323</v>
      </c>
      <c r="F90" s="2">
        <v>0.76579861111111114</v>
      </c>
      <c r="G90" t="s">
        <v>17</v>
      </c>
      <c r="H90" t="s">
        <v>18</v>
      </c>
      <c r="I90">
        <v>5</v>
      </c>
      <c r="J90">
        <v>1225.68</v>
      </c>
      <c r="L90" t="s">
        <v>35</v>
      </c>
      <c r="M90" t="s">
        <v>155</v>
      </c>
      <c r="N90" t="s">
        <v>74</v>
      </c>
    </row>
    <row r="91" spans="1:14" x14ac:dyDescent="0.35">
      <c r="A91" t="s">
        <v>286</v>
      </c>
      <c r="B91" t="s">
        <v>287</v>
      </c>
      <c r="C91" t="s">
        <v>67</v>
      </c>
      <c r="D91" t="s">
        <v>16</v>
      </c>
      <c r="E91" s="1">
        <v>45884</v>
      </c>
      <c r="F91" s="2">
        <v>0.74728009259259254</v>
      </c>
      <c r="G91" t="s">
        <v>17</v>
      </c>
      <c r="H91" t="s">
        <v>18</v>
      </c>
      <c r="I91">
        <v>12</v>
      </c>
      <c r="J91">
        <v>1062.8499999999999</v>
      </c>
      <c r="L91" t="s">
        <v>42</v>
      </c>
      <c r="M91" t="s">
        <v>20</v>
      </c>
      <c r="N91" t="s">
        <v>249</v>
      </c>
    </row>
    <row r="92" spans="1:14" x14ac:dyDescent="0.35">
      <c r="A92" t="s">
        <v>288</v>
      </c>
      <c r="B92" t="s">
        <v>289</v>
      </c>
      <c r="C92" t="s">
        <v>67</v>
      </c>
      <c r="D92" t="s">
        <v>16</v>
      </c>
      <c r="E92" s="1">
        <v>45191</v>
      </c>
      <c r="F92" s="2">
        <v>0.70758101851851851</v>
      </c>
      <c r="G92" t="s">
        <v>17</v>
      </c>
      <c r="H92" t="s">
        <v>18</v>
      </c>
      <c r="I92">
        <v>9</v>
      </c>
      <c r="J92">
        <v>882.33</v>
      </c>
      <c r="L92" t="s">
        <v>28</v>
      </c>
      <c r="M92" t="s">
        <v>36</v>
      </c>
      <c r="N92" t="s">
        <v>172</v>
      </c>
    </row>
    <row r="93" spans="1:14" x14ac:dyDescent="0.35">
      <c r="A93" t="s">
        <v>290</v>
      </c>
      <c r="B93" t="s">
        <v>291</v>
      </c>
      <c r="C93" t="s">
        <v>67</v>
      </c>
      <c r="D93" t="s">
        <v>16</v>
      </c>
      <c r="E93" s="1">
        <v>45183</v>
      </c>
      <c r="F93" s="2">
        <v>0.73200231481481481</v>
      </c>
      <c r="G93" t="s">
        <v>93</v>
      </c>
      <c r="H93" t="s">
        <v>50</v>
      </c>
      <c r="I93">
        <v>10</v>
      </c>
      <c r="J93">
        <v>192.96</v>
      </c>
      <c r="L93" t="s">
        <v>59</v>
      </c>
      <c r="M93" t="s">
        <v>20</v>
      </c>
      <c r="N93" t="s">
        <v>166</v>
      </c>
    </row>
    <row r="94" spans="1:14" x14ac:dyDescent="0.35">
      <c r="A94" t="s">
        <v>292</v>
      </c>
      <c r="B94" t="s">
        <v>293</v>
      </c>
      <c r="C94" t="s">
        <v>179</v>
      </c>
      <c r="D94" t="s">
        <v>41</v>
      </c>
      <c r="E94" s="1">
        <v>46260</v>
      </c>
      <c r="F94" s="2">
        <v>0.85863425925925929</v>
      </c>
      <c r="G94" t="s">
        <v>49</v>
      </c>
      <c r="H94" t="s">
        <v>50</v>
      </c>
      <c r="I94">
        <v>8</v>
      </c>
      <c r="J94">
        <v>236.01</v>
      </c>
      <c r="L94" t="s">
        <v>28</v>
      </c>
      <c r="M94" t="s">
        <v>43</v>
      </c>
    </row>
    <row r="95" spans="1:14" x14ac:dyDescent="0.35">
      <c r="A95" t="s">
        <v>294</v>
      </c>
      <c r="B95" t="s">
        <v>295</v>
      </c>
      <c r="C95" t="s">
        <v>77</v>
      </c>
      <c r="D95" t="s">
        <v>63</v>
      </c>
      <c r="E95" s="1">
        <v>45344</v>
      </c>
      <c r="F95" s="2">
        <v>0.71481481481481479</v>
      </c>
      <c r="G95" t="s">
        <v>33</v>
      </c>
      <c r="H95" t="s">
        <v>34</v>
      </c>
      <c r="I95">
        <v>14</v>
      </c>
      <c r="J95">
        <v>399.74</v>
      </c>
      <c r="L95" t="s">
        <v>28</v>
      </c>
      <c r="M95" t="s">
        <v>241</v>
      </c>
      <c r="N95" t="s">
        <v>37</v>
      </c>
    </row>
    <row r="96" spans="1:14" x14ac:dyDescent="0.35">
      <c r="A96" t="s">
        <v>296</v>
      </c>
      <c r="B96" t="s">
        <v>297</v>
      </c>
      <c r="C96" t="s">
        <v>169</v>
      </c>
      <c r="D96" t="s">
        <v>170</v>
      </c>
      <c r="E96" s="1">
        <v>45435</v>
      </c>
      <c r="F96" s="2">
        <v>0.88957175925925924</v>
      </c>
      <c r="G96" t="s">
        <v>49</v>
      </c>
      <c r="H96" t="s">
        <v>50</v>
      </c>
      <c r="I96">
        <v>4</v>
      </c>
      <c r="J96">
        <v>230.81</v>
      </c>
      <c r="L96" t="s">
        <v>59</v>
      </c>
      <c r="M96" t="s">
        <v>171</v>
      </c>
      <c r="N96" t="s">
        <v>249</v>
      </c>
    </row>
    <row r="97" spans="1:14" x14ac:dyDescent="0.35">
      <c r="A97" t="s">
        <v>298</v>
      </c>
      <c r="B97" t="s">
        <v>268</v>
      </c>
      <c r="C97" t="s">
        <v>179</v>
      </c>
      <c r="D97" t="s">
        <v>41</v>
      </c>
      <c r="E97" s="1">
        <v>45026</v>
      </c>
      <c r="F97" s="2">
        <v>0.52196759259259262</v>
      </c>
      <c r="G97" t="s">
        <v>78</v>
      </c>
      <c r="H97" t="s">
        <v>79</v>
      </c>
      <c r="I97">
        <v>1</v>
      </c>
      <c r="J97">
        <v>152.32</v>
      </c>
      <c r="L97" t="s">
        <v>28</v>
      </c>
      <c r="M97" t="s">
        <v>43</v>
      </c>
    </row>
    <row r="98" spans="1:14" x14ac:dyDescent="0.35">
      <c r="A98" t="s">
        <v>299</v>
      </c>
      <c r="B98" t="s">
        <v>300</v>
      </c>
      <c r="C98" t="s">
        <v>70</v>
      </c>
      <c r="D98" t="s">
        <v>71</v>
      </c>
      <c r="E98" s="1">
        <v>45959</v>
      </c>
      <c r="F98" s="2">
        <v>0.85783564814814817</v>
      </c>
      <c r="G98" t="s">
        <v>49</v>
      </c>
      <c r="H98" t="s">
        <v>50</v>
      </c>
      <c r="I98">
        <v>2</v>
      </c>
      <c r="J98">
        <v>186.63</v>
      </c>
      <c r="L98" t="s">
        <v>28</v>
      </c>
      <c r="M98" t="s">
        <v>73</v>
      </c>
      <c r="N98" t="s">
        <v>109</v>
      </c>
    </row>
    <row r="99" spans="1:14" x14ac:dyDescent="0.35">
      <c r="A99" t="s">
        <v>301</v>
      </c>
      <c r="B99" t="s">
        <v>302</v>
      </c>
      <c r="C99" t="s">
        <v>47</v>
      </c>
      <c r="D99" t="s">
        <v>48</v>
      </c>
      <c r="E99" s="1">
        <v>45609</v>
      </c>
      <c r="F99" s="2">
        <v>0.68690972222222224</v>
      </c>
      <c r="G99" t="s">
        <v>49</v>
      </c>
      <c r="H99" t="s">
        <v>50</v>
      </c>
      <c r="I99">
        <v>3</v>
      </c>
      <c r="J99">
        <v>243.44</v>
      </c>
      <c r="L99" t="s">
        <v>35</v>
      </c>
      <c r="M99" t="s">
        <v>85</v>
      </c>
      <c r="N99" t="s">
        <v>133</v>
      </c>
    </row>
    <row r="100" spans="1:14" x14ac:dyDescent="0.35">
      <c r="A100" t="s">
        <v>303</v>
      </c>
      <c r="B100" t="s">
        <v>304</v>
      </c>
      <c r="C100" t="s">
        <v>128</v>
      </c>
      <c r="D100" t="s">
        <v>63</v>
      </c>
      <c r="E100" s="1">
        <v>44961</v>
      </c>
      <c r="F100" s="2">
        <v>0.57160879629629635</v>
      </c>
      <c r="G100" t="s">
        <v>78</v>
      </c>
      <c r="H100" t="s">
        <v>79</v>
      </c>
      <c r="I100">
        <v>13</v>
      </c>
      <c r="J100">
        <v>185.41</v>
      </c>
      <c r="L100" t="s">
        <v>55</v>
      </c>
      <c r="M100" t="s">
        <v>64</v>
      </c>
      <c r="N100" t="s">
        <v>44</v>
      </c>
    </row>
    <row r="101" spans="1:14" x14ac:dyDescent="0.35">
      <c r="A101" t="s">
        <v>305</v>
      </c>
      <c r="B101" t="s">
        <v>306</v>
      </c>
      <c r="C101" t="s">
        <v>98</v>
      </c>
      <c r="D101" t="s">
        <v>99</v>
      </c>
      <c r="E101" s="1">
        <v>45229</v>
      </c>
      <c r="F101" s="2">
        <v>0.3588425925925926</v>
      </c>
      <c r="G101" t="s">
        <v>17</v>
      </c>
      <c r="H101" t="s">
        <v>18</v>
      </c>
      <c r="I101">
        <v>8</v>
      </c>
      <c r="J101">
        <v>875.72</v>
      </c>
      <c r="L101" t="s">
        <v>35</v>
      </c>
      <c r="M101" t="s">
        <v>122</v>
      </c>
      <c r="N101" t="s">
        <v>166</v>
      </c>
    </row>
    <row r="102" spans="1:14" x14ac:dyDescent="0.35">
      <c r="A102" t="s">
        <v>307</v>
      </c>
      <c r="B102" t="s">
        <v>308</v>
      </c>
      <c r="C102" t="s">
        <v>77</v>
      </c>
      <c r="D102" t="s">
        <v>63</v>
      </c>
      <c r="E102" s="1">
        <v>45569</v>
      </c>
      <c r="F102" s="2">
        <v>0.66567129629629629</v>
      </c>
      <c r="G102" t="s">
        <v>33</v>
      </c>
      <c r="H102" t="s">
        <v>34</v>
      </c>
      <c r="I102">
        <v>11</v>
      </c>
      <c r="J102">
        <v>464.18</v>
      </c>
      <c r="L102" t="s">
        <v>28</v>
      </c>
      <c r="M102" t="s">
        <v>241</v>
      </c>
    </row>
    <row r="103" spans="1:14" x14ac:dyDescent="0.35">
      <c r="A103" t="s">
        <v>309</v>
      </c>
      <c r="B103" t="s">
        <v>300</v>
      </c>
      <c r="C103" t="s">
        <v>195</v>
      </c>
      <c r="D103" t="s">
        <v>63</v>
      </c>
      <c r="E103" s="1">
        <v>45576</v>
      </c>
      <c r="F103" s="2">
        <v>0.56665509259259261</v>
      </c>
      <c r="G103" t="s">
        <v>266</v>
      </c>
      <c r="H103" t="s">
        <v>34</v>
      </c>
      <c r="I103">
        <v>10</v>
      </c>
      <c r="J103">
        <v>395.94</v>
      </c>
      <c r="L103" t="s">
        <v>42</v>
      </c>
      <c r="M103" t="s">
        <v>241</v>
      </c>
    </row>
    <row r="104" spans="1:14" x14ac:dyDescent="0.35">
      <c r="A104" t="s">
        <v>310</v>
      </c>
      <c r="B104" t="s">
        <v>311</v>
      </c>
      <c r="C104" t="s">
        <v>205</v>
      </c>
      <c r="D104" t="s">
        <v>170</v>
      </c>
      <c r="E104" s="1">
        <v>45365</v>
      </c>
      <c r="F104" s="2">
        <v>0.89880787037037035</v>
      </c>
      <c r="G104" t="s">
        <v>184</v>
      </c>
      <c r="H104" t="s">
        <v>50</v>
      </c>
      <c r="I104">
        <v>3</v>
      </c>
      <c r="L104" t="s">
        <v>117</v>
      </c>
      <c r="M104" t="s">
        <v>171</v>
      </c>
      <c r="N104" t="s">
        <v>44</v>
      </c>
    </row>
    <row r="105" spans="1:14" x14ac:dyDescent="0.35">
      <c r="A105" t="s">
        <v>312</v>
      </c>
      <c r="B105" t="s">
        <v>313</v>
      </c>
      <c r="C105" t="s">
        <v>77</v>
      </c>
      <c r="D105" t="s">
        <v>63</v>
      </c>
      <c r="E105" s="1">
        <v>46322</v>
      </c>
      <c r="F105" s="2">
        <v>0.35832175925925924</v>
      </c>
      <c r="G105" t="s">
        <v>281</v>
      </c>
      <c r="H105" t="s">
        <v>27</v>
      </c>
      <c r="I105">
        <v>15</v>
      </c>
      <c r="J105">
        <v>622.71</v>
      </c>
      <c r="L105" t="s">
        <v>35</v>
      </c>
      <c r="M105" t="s">
        <v>80</v>
      </c>
      <c r="N105" t="s">
        <v>166</v>
      </c>
    </row>
    <row r="106" spans="1:14" x14ac:dyDescent="0.35">
      <c r="A106" t="s">
        <v>314</v>
      </c>
      <c r="B106" t="s">
        <v>315</v>
      </c>
      <c r="C106" t="s">
        <v>47</v>
      </c>
      <c r="D106" t="s">
        <v>48</v>
      </c>
      <c r="E106" s="1">
        <v>45782</v>
      </c>
      <c r="F106" s="2">
        <v>0.37042824074074077</v>
      </c>
      <c r="G106" t="s">
        <v>78</v>
      </c>
      <c r="H106" t="s">
        <v>79</v>
      </c>
      <c r="I106">
        <v>12</v>
      </c>
      <c r="J106">
        <v>189.45</v>
      </c>
      <c r="L106" t="s">
        <v>19</v>
      </c>
      <c r="M106" t="s">
        <v>85</v>
      </c>
      <c r="N106" t="s">
        <v>133</v>
      </c>
    </row>
    <row r="107" spans="1:14" x14ac:dyDescent="0.35">
      <c r="A107" t="s">
        <v>316</v>
      </c>
      <c r="B107" t="s">
        <v>317</v>
      </c>
      <c r="C107" t="s">
        <v>139</v>
      </c>
      <c r="D107" t="s">
        <v>25</v>
      </c>
      <c r="E107" s="1">
        <v>45885</v>
      </c>
      <c r="F107" s="2">
        <v>0.49383101851851852</v>
      </c>
      <c r="G107" t="s">
        <v>33</v>
      </c>
      <c r="H107" t="s">
        <v>34</v>
      </c>
      <c r="I107">
        <v>8</v>
      </c>
      <c r="J107">
        <v>463.72</v>
      </c>
      <c r="L107" t="s">
        <v>55</v>
      </c>
      <c r="M107" t="s">
        <v>29</v>
      </c>
      <c r="N107" t="s">
        <v>74</v>
      </c>
    </row>
    <row r="108" spans="1:14" x14ac:dyDescent="0.35">
      <c r="A108" t="s">
        <v>318</v>
      </c>
      <c r="B108" t="s">
        <v>319</v>
      </c>
      <c r="C108" t="s">
        <v>106</v>
      </c>
      <c r="D108" t="s">
        <v>107</v>
      </c>
      <c r="E108" s="1">
        <v>45104</v>
      </c>
      <c r="F108" s="2">
        <v>0.75429398148148152</v>
      </c>
      <c r="G108" t="s">
        <v>26</v>
      </c>
      <c r="H108" t="s">
        <v>27</v>
      </c>
      <c r="I108">
        <v>15</v>
      </c>
      <c r="J108">
        <v>558.24</v>
      </c>
      <c r="L108" t="s">
        <v>35</v>
      </c>
      <c r="M108" t="s">
        <v>108</v>
      </c>
      <c r="N108" t="s">
        <v>21</v>
      </c>
    </row>
    <row r="109" spans="1:14" x14ac:dyDescent="0.35">
      <c r="A109" t="s">
        <v>320</v>
      </c>
      <c r="B109" t="s">
        <v>321</v>
      </c>
      <c r="C109" t="s">
        <v>15</v>
      </c>
      <c r="D109" t="s">
        <v>16</v>
      </c>
      <c r="E109" s="1">
        <v>45555</v>
      </c>
      <c r="F109" s="2">
        <v>0.61356481481481484</v>
      </c>
      <c r="G109" t="s">
        <v>33</v>
      </c>
      <c r="H109" t="s">
        <v>34</v>
      </c>
      <c r="I109">
        <v>11</v>
      </c>
      <c r="J109">
        <v>379.01</v>
      </c>
      <c r="L109" t="s">
        <v>59</v>
      </c>
      <c r="M109" t="s">
        <v>36</v>
      </c>
      <c r="N109" t="s">
        <v>95</v>
      </c>
    </row>
    <row r="110" spans="1:14" x14ac:dyDescent="0.35">
      <c r="A110" t="s">
        <v>322</v>
      </c>
      <c r="B110" t="s">
        <v>323</v>
      </c>
      <c r="C110" t="s">
        <v>77</v>
      </c>
      <c r="D110" t="s">
        <v>63</v>
      </c>
      <c r="E110" s="1">
        <v>45433</v>
      </c>
      <c r="F110" s="2">
        <v>0.68649305555555551</v>
      </c>
      <c r="G110" t="s">
        <v>33</v>
      </c>
      <c r="H110" t="s">
        <v>34</v>
      </c>
      <c r="J110">
        <v>332.35</v>
      </c>
      <c r="L110" t="s">
        <v>59</v>
      </c>
      <c r="M110" t="s">
        <v>80</v>
      </c>
      <c r="N110" t="s">
        <v>125</v>
      </c>
    </row>
    <row r="111" spans="1:14" x14ac:dyDescent="0.35">
      <c r="A111" t="s">
        <v>324</v>
      </c>
      <c r="B111" t="s">
        <v>325</v>
      </c>
      <c r="C111" t="s">
        <v>179</v>
      </c>
      <c r="D111" t="s">
        <v>41</v>
      </c>
      <c r="E111" s="1">
        <v>45113</v>
      </c>
      <c r="F111" s="2">
        <v>0.83575231481481482</v>
      </c>
      <c r="G111" t="s">
        <v>281</v>
      </c>
      <c r="H111" t="s">
        <v>27</v>
      </c>
      <c r="I111">
        <v>8</v>
      </c>
      <c r="J111">
        <v>647.64</v>
      </c>
      <c r="L111" t="s">
        <v>28</v>
      </c>
      <c r="M111" t="s">
        <v>43</v>
      </c>
      <c r="N111" t="s">
        <v>74</v>
      </c>
    </row>
    <row r="112" spans="1:14" x14ac:dyDescent="0.35">
      <c r="A112" t="s">
        <v>326</v>
      </c>
      <c r="B112" t="s">
        <v>327</v>
      </c>
      <c r="C112" t="s">
        <v>67</v>
      </c>
      <c r="D112" t="s">
        <v>16</v>
      </c>
      <c r="E112" s="1">
        <v>45068</v>
      </c>
      <c r="F112" s="2">
        <v>0.34613425925925928</v>
      </c>
      <c r="G112" t="s">
        <v>26</v>
      </c>
      <c r="H112" t="s">
        <v>27</v>
      </c>
      <c r="I112">
        <v>13</v>
      </c>
      <c r="J112">
        <v>698.79</v>
      </c>
      <c r="L112" t="s">
        <v>42</v>
      </c>
      <c r="M112" t="s">
        <v>36</v>
      </c>
      <c r="N112" t="s">
        <v>142</v>
      </c>
    </row>
    <row r="113" spans="1:14" x14ac:dyDescent="0.35">
      <c r="A113" t="s">
        <v>328</v>
      </c>
      <c r="B113" t="s">
        <v>329</v>
      </c>
      <c r="C113" t="s">
        <v>139</v>
      </c>
      <c r="D113" t="s">
        <v>25</v>
      </c>
      <c r="E113" s="1">
        <v>45639</v>
      </c>
      <c r="F113" s="2">
        <v>0.44056712962962963</v>
      </c>
      <c r="G113" t="s">
        <v>49</v>
      </c>
      <c r="H113" t="s">
        <v>50</v>
      </c>
      <c r="I113">
        <v>4</v>
      </c>
      <c r="J113">
        <v>259.18</v>
      </c>
      <c r="L113" t="s">
        <v>28</v>
      </c>
      <c r="M113" t="s">
        <v>29</v>
      </c>
      <c r="N113" t="s">
        <v>142</v>
      </c>
    </row>
    <row r="114" spans="1:14" x14ac:dyDescent="0.35">
      <c r="A114" t="s">
        <v>330</v>
      </c>
      <c r="B114" t="s">
        <v>331</v>
      </c>
      <c r="C114" t="s">
        <v>195</v>
      </c>
      <c r="D114" t="s">
        <v>63</v>
      </c>
      <c r="E114" s="1">
        <v>44992</v>
      </c>
      <c r="F114" s="2">
        <v>0.74304398148148143</v>
      </c>
      <c r="G114" t="s">
        <v>17</v>
      </c>
      <c r="H114" t="s">
        <v>18</v>
      </c>
      <c r="I114">
        <v>2</v>
      </c>
      <c r="L114" t="s">
        <v>55</v>
      </c>
      <c r="M114" t="s">
        <v>64</v>
      </c>
      <c r="N114" t="s">
        <v>44</v>
      </c>
    </row>
    <row r="115" spans="1:14" x14ac:dyDescent="0.35">
      <c r="A115" t="s">
        <v>332</v>
      </c>
      <c r="B115" t="s">
        <v>333</v>
      </c>
      <c r="C115" t="s">
        <v>47</v>
      </c>
      <c r="D115" t="s">
        <v>48</v>
      </c>
      <c r="E115" s="1">
        <v>45958</v>
      </c>
      <c r="F115" s="2">
        <v>0.49511574074074072</v>
      </c>
      <c r="G115" t="s">
        <v>49</v>
      </c>
      <c r="H115" t="s">
        <v>50</v>
      </c>
      <c r="I115">
        <v>10</v>
      </c>
      <c r="J115">
        <v>266.02</v>
      </c>
      <c r="L115" t="s">
        <v>35</v>
      </c>
      <c r="M115" t="s">
        <v>85</v>
      </c>
      <c r="N115" t="s">
        <v>44</v>
      </c>
    </row>
    <row r="116" spans="1:14" x14ac:dyDescent="0.35">
      <c r="A116" t="s">
        <v>334</v>
      </c>
      <c r="B116" t="s">
        <v>335</v>
      </c>
      <c r="C116" t="s">
        <v>62</v>
      </c>
      <c r="D116" t="s">
        <v>63</v>
      </c>
      <c r="E116" s="1">
        <v>46317</v>
      </c>
      <c r="F116" s="2">
        <v>0.68822916666666667</v>
      </c>
      <c r="G116" t="s">
        <v>33</v>
      </c>
      <c r="H116" t="s">
        <v>34</v>
      </c>
      <c r="I116">
        <v>11</v>
      </c>
      <c r="J116">
        <v>424.89</v>
      </c>
      <c r="L116" t="s">
        <v>42</v>
      </c>
      <c r="M116" t="s">
        <v>64</v>
      </c>
      <c r="N116" t="s">
        <v>103</v>
      </c>
    </row>
    <row r="117" spans="1:14" x14ac:dyDescent="0.35">
      <c r="A117" t="s">
        <v>336</v>
      </c>
      <c r="B117" t="s">
        <v>337</v>
      </c>
      <c r="C117" t="s">
        <v>150</v>
      </c>
      <c r="D117" t="s">
        <v>25</v>
      </c>
      <c r="E117" s="1">
        <v>46078</v>
      </c>
      <c r="F117" s="2">
        <v>0.60802083333333334</v>
      </c>
      <c r="G117" t="s">
        <v>26</v>
      </c>
      <c r="H117" t="s">
        <v>27</v>
      </c>
      <c r="I117">
        <v>5</v>
      </c>
      <c r="J117">
        <v>674.01</v>
      </c>
      <c r="L117" t="s">
        <v>42</v>
      </c>
      <c r="M117" t="s">
        <v>155</v>
      </c>
    </row>
    <row r="118" spans="1:14" x14ac:dyDescent="0.35">
      <c r="A118" t="s">
        <v>338</v>
      </c>
      <c r="B118" t="s">
        <v>339</v>
      </c>
      <c r="C118" t="s">
        <v>70</v>
      </c>
      <c r="D118" t="s">
        <v>71</v>
      </c>
      <c r="E118" s="1">
        <v>46130</v>
      </c>
      <c r="F118" s="2">
        <v>0.63466435185185188</v>
      </c>
      <c r="G118" t="s">
        <v>33</v>
      </c>
      <c r="H118" t="s">
        <v>34</v>
      </c>
      <c r="I118">
        <v>15</v>
      </c>
      <c r="L118" t="s">
        <v>35</v>
      </c>
      <c r="M118" t="s">
        <v>190</v>
      </c>
      <c r="N118" t="s">
        <v>103</v>
      </c>
    </row>
    <row r="119" spans="1:14" x14ac:dyDescent="0.35">
      <c r="A119" t="s">
        <v>340</v>
      </c>
      <c r="B119" t="s">
        <v>341</v>
      </c>
      <c r="C119" t="s">
        <v>24</v>
      </c>
      <c r="D119" t="s">
        <v>25</v>
      </c>
      <c r="E119" s="1">
        <v>45506</v>
      </c>
      <c r="F119" s="2">
        <v>0.64908564814814818</v>
      </c>
      <c r="G119" t="s">
        <v>33</v>
      </c>
      <c r="H119" t="s">
        <v>34</v>
      </c>
      <c r="I119">
        <v>6</v>
      </c>
      <c r="J119">
        <v>419.46</v>
      </c>
      <c r="L119" t="s">
        <v>55</v>
      </c>
      <c r="M119" t="s">
        <v>29</v>
      </c>
      <c r="N119" t="s">
        <v>133</v>
      </c>
    </row>
    <row r="120" spans="1:14" x14ac:dyDescent="0.35">
      <c r="A120" t="s">
        <v>342</v>
      </c>
      <c r="B120" t="s">
        <v>304</v>
      </c>
      <c r="C120" t="s">
        <v>24</v>
      </c>
      <c r="D120" t="s">
        <v>25</v>
      </c>
      <c r="E120" s="1">
        <v>44960</v>
      </c>
      <c r="F120" s="2">
        <v>0.70806712962962959</v>
      </c>
      <c r="G120" t="s">
        <v>49</v>
      </c>
      <c r="H120" t="s">
        <v>50</v>
      </c>
      <c r="I120">
        <v>5</v>
      </c>
      <c r="J120">
        <v>212.29</v>
      </c>
      <c r="L120" t="s">
        <v>42</v>
      </c>
      <c r="M120" t="s">
        <v>56</v>
      </c>
      <c r="N120" t="s">
        <v>133</v>
      </c>
    </row>
    <row r="121" spans="1:14" x14ac:dyDescent="0.35">
      <c r="A121" t="s">
        <v>343</v>
      </c>
      <c r="B121" t="s">
        <v>344</v>
      </c>
      <c r="C121" t="s">
        <v>77</v>
      </c>
      <c r="D121" t="s">
        <v>63</v>
      </c>
      <c r="E121" s="1">
        <v>45271</v>
      </c>
      <c r="F121" s="2">
        <v>0.42275462962962962</v>
      </c>
      <c r="G121" t="s">
        <v>49</v>
      </c>
      <c r="H121" t="s">
        <v>50</v>
      </c>
      <c r="I121">
        <v>15</v>
      </c>
      <c r="J121">
        <v>284.94</v>
      </c>
      <c r="L121" t="s">
        <v>55</v>
      </c>
      <c r="M121" t="s">
        <v>241</v>
      </c>
      <c r="N121" t="s">
        <v>166</v>
      </c>
    </row>
    <row r="122" spans="1:14" x14ac:dyDescent="0.35">
      <c r="A122" t="s">
        <v>345</v>
      </c>
      <c r="B122" t="s">
        <v>162</v>
      </c>
      <c r="C122" t="s">
        <v>70</v>
      </c>
      <c r="D122" t="s">
        <v>71</v>
      </c>
      <c r="E122" s="1">
        <v>44945</v>
      </c>
      <c r="F122" s="2">
        <v>0.68707175925925923</v>
      </c>
      <c r="G122" t="s">
        <v>17</v>
      </c>
      <c r="H122" t="s">
        <v>18</v>
      </c>
      <c r="I122">
        <v>11</v>
      </c>
      <c r="J122">
        <v>1256.3800000000001</v>
      </c>
      <c r="L122" t="s">
        <v>121</v>
      </c>
      <c r="M122" t="s">
        <v>190</v>
      </c>
      <c r="N122" t="s">
        <v>21</v>
      </c>
    </row>
    <row r="123" spans="1:14" x14ac:dyDescent="0.35">
      <c r="A123" t="s">
        <v>346</v>
      </c>
      <c r="B123" t="s">
        <v>347</v>
      </c>
      <c r="C123" t="s">
        <v>136</v>
      </c>
      <c r="D123" t="s">
        <v>25</v>
      </c>
      <c r="E123" s="1">
        <v>45294</v>
      </c>
      <c r="F123" s="2">
        <v>0.39802083333333332</v>
      </c>
      <c r="G123" t="s">
        <v>26</v>
      </c>
      <c r="H123" t="s">
        <v>27</v>
      </c>
      <c r="I123">
        <v>9</v>
      </c>
      <c r="J123">
        <v>586.33000000000004</v>
      </c>
      <c r="L123" t="s">
        <v>121</v>
      </c>
      <c r="M123" t="s">
        <v>56</v>
      </c>
      <c r="N123" t="s">
        <v>44</v>
      </c>
    </row>
    <row r="124" spans="1:14" x14ac:dyDescent="0.35">
      <c r="A124" t="s">
        <v>348</v>
      </c>
      <c r="B124" t="s">
        <v>349</v>
      </c>
      <c r="C124" t="s">
        <v>70</v>
      </c>
      <c r="D124" t="s">
        <v>71</v>
      </c>
      <c r="E124" s="1">
        <v>45118</v>
      </c>
      <c r="F124" s="2">
        <v>0.60040509259259256</v>
      </c>
      <c r="G124" t="s">
        <v>78</v>
      </c>
      <c r="H124" t="s">
        <v>79</v>
      </c>
      <c r="L124" t="s">
        <v>35</v>
      </c>
      <c r="M124" t="s">
        <v>190</v>
      </c>
      <c r="N124" t="s">
        <v>133</v>
      </c>
    </row>
    <row r="125" spans="1:14" x14ac:dyDescent="0.35">
      <c r="A125" t="s">
        <v>350</v>
      </c>
      <c r="B125" t="s">
        <v>351</v>
      </c>
      <c r="C125" t="s">
        <v>47</v>
      </c>
      <c r="D125" t="s">
        <v>48</v>
      </c>
      <c r="E125" s="1">
        <v>45359</v>
      </c>
      <c r="F125" s="2">
        <v>0.50207175925925929</v>
      </c>
      <c r="G125" t="s">
        <v>17</v>
      </c>
      <c r="H125" t="s">
        <v>18</v>
      </c>
      <c r="I125">
        <v>5</v>
      </c>
      <c r="J125">
        <v>1081.75</v>
      </c>
      <c r="L125" t="s">
        <v>147</v>
      </c>
      <c r="M125" t="s">
        <v>85</v>
      </c>
      <c r="N125" t="s">
        <v>74</v>
      </c>
    </row>
    <row r="126" spans="1:14" x14ac:dyDescent="0.35">
      <c r="A126" t="s">
        <v>352</v>
      </c>
      <c r="B126" t="s">
        <v>353</v>
      </c>
      <c r="C126" t="s">
        <v>70</v>
      </c>
      <c r="D126" t="s">
        <v>71</v>
      </c>
      <c r="E126" s="1">
        <v>45259</v>
      </c>
      <c r="F126" s="2">
        <v>0.74576388888888889</v>
      </c>
      <c r="G126" t="s">
        <v>78</v>
      </c>
      <c r="H126" t="s">
        <v>79</v>
      </c>
      <c r="I126">
        <v>9</v>
      </c>
      <c r="J126">
        <v>176.67</v>
      </c>
      <c r="L126" t="s">
        <v>35</v>
      </c>
      <c r="M126" t="s">
        <v>73</v>
      </c>
    </row>
    <row r="127" spans="1:14" x14ac:dyDescent="0.35">
      <c r="A127" t="s">
        <v>354</v>
      </c>
      <c r="B127" t="s">
        <v>355</v>
      </c>
      <c r="C127" t="s">
        <v>98</v>
      </c>
      <c r="D127" t="s">
        <v>99</v>
      </c>
      <c r="E127" s="1">
        <v>46146</v>
      </c>
      <c r="F127" s="2">
        <v>0.84723379629629625</v>
      </c>
      <c r="G127" t="s">
        <v>33</v>
      </c>
      <c r="H127" t="s">
        <v>34</v>
      </c>
      <c r="I127">
        <v>8</v>
      </c>
      <c r="J127">
        <v>391.16</v>
      </c>
      <c r="L127" t="s">
        <v>42</v>
      </c>
      <c r="M127" t="s">
        <v>100</v>
      </c>
      <c r="N127" t="s">
        <v>249</v>
      </c>
    </row>
    <row r="128" spans="1:14" x14ac:dyDescent="0.35">
      <c r="A128" t="s">
        <v>356</v>
      </c>
      <c r="B128" t="s">
        <v>357</v>
      </c>
      <c r="C128" t="s">
        <v>70</v>
      </c>
      <c r="D128" t="s">
        <v>71</v>
      </c>
      <c r="E128" s="1">
        <v>45242</v>
      </c>
      <c r="F128" s="2">
        <v>0.82685185185185184</v>
      </c>
      <c r="G128" t="s">
        <v>26</v>
      </c>
      <c r="H128" t="s">
        <v>27</v>
      </c>
      <c r="I128">
        <v>6</v>
      </c>
      <c r="J128">
        <v>507.46</v>
      </c>
      <c r="L128" t="s">
        <v>28</v>
      </c>
      <c r="M128" t="s">
        <v>73</v>
      </c>
      <c r="N128" t="s">
        <v>249</v>
      </c>
    </row>
    <row r="129" spans="1:14" x14ac:dyDescent="0.35">
      <c r="A129" t="s">
        <v>358</v>
      </c>
      <c r="B129" t="s">
        <v>189</v>
      </c>
      <c r="C129" t="s">
        <v>15</v>
      </c>
      <c r="D129" t="s">
        <v>16</v>
      </c>
      <c r="E129" s="1">
        <v>45110</v>
      </c>
      <c r="F129" s="2">
        <v>0.67057870370370365</v>
      </c>
      <c r="G129" t="s">
        <v>49</v>
      </c>
      <c r="H129" t="s">
        <v>50</v>
      </c>
      <c r="I129">
        <v>14</v>
      </c>
      <c r="J129">
        <v>208.1</v>
      </c>
      <c r="L129" t="s">
        <v>42</v>
      </c>
      <c r="M129" t="s">
        <v>20</v>
      </c>
      <c r="N129" t="s">
        <v>44</v>
      </c>
    </row>
    <row r="130" spans="1:14" x14ac:dyDescent="0.35">
      <c r="A130" t="s">
        <v>359</v>
      </c>
      <c r="B130" t="s">
        <v>360</v>
      </c>
      <c r="C130" t="s">
        <v>205</v>
      </c>
      <c r="D130" t="s">
        <v>170</v>
      </c>
      <c r="E130" s="1">
        <v>45476</v>
      </c>
      <c r="F130" s="2">
        <v>0.41956018518518517</v>
      </c>
      <c r="G130" t="s">
        <v>187</v>
      </c>
      <c r="H130" t="s">
        <v>79</v>
      </c>
      <c r="I130">
        <v>5</v>
      </c>
      <c r="J130">
        <v>125.77</v>
      </c>
      <c r="L130" t="s">
        <v>28</v>
      </c>
      <c r="M130" t="s">
        <v>171</v>
      </c>
      <c r="N130" t="s">
        <v>74</v>
      </c>
    </row>
    <row r="131" spans="1:14" x14ac:dyDescent="0.35">
      <c r="A131" t="s">
        <v>361</v>
      </c>
      <c r="B131" t="s">
        <v>362</v>
      </c>
      <c r="C131" t="s">
        <v>88</v>
      </c>
      <c r="D131" t="s">
        <v>41</v>
      </c>
      <c r="E131" s="1">
        <v>45705</v>
      </c>
      <c r="F131" s="2">
        <v>0.63989583333333333</v>
      </c>
      <c r="G131" t="s">
        <v>49</v>
      </c>
      <c r="H131" t="s">
        <v>50</v>
      </c>
      <c r="I131">
        <v>6</v>
      </c>
      <c r="J131">
        <v>252.48</v>
      </c>
      <c r="L131" t="s">
        <v>42</v>
      </c>
      <c r="M131" t="s">
        <v>43</v>
      </c>
    </row>
    <row r="132" spans="1:14" x14ac:dyDescent="0.35">
      <c r="A132" t="s">
        <v>363</v>
      </c>
      <c r="B132" t="s">
        <v>364</v>
      </c>
      <c r="C132" t="s">
        <v>24</v>
      </c>
      <c r="D132" t="s">
        <v>25</v>
      </c>
      <c r="E132" s="1">
        <v>45697</v>
      </c>
      <c r="F132" s="2">
        <v>0.91001157407407407</v>
      </c>
      <c r="G132" t="s">
        <v>33</v>
      </c>
      <c r="H132" t="s">
        <v>34</v>
      </c>
      <c r="I132">
        <v>10</v>
      </c>
      <c r="J132">
        <v>519.45000000000005</v>
      </c>
      <c r="L132" t="s">
        <v>35</v>
      </c>
      <c r="M132" t="s">
        <v>29</v>
      </c>
      <c r="N132" t="s">
        <v>95</v>
      </c>
    </row>
    <row r="133" spans="1:14" x14ac:dyDescent="0.35">
      <c r="A133" t="s">
        <v>365</v>
      </c>
      <c r="B133" t="s">
        <v>366</v>
      </c>
      <c r="C133" t="s">
        <v>70</v>
      </c>
      <c r="D133" t="s">
        <v>71</v>
      </c>
      <c r="E133" s="1">
        <v>46305</v>
      </c>
      <c r="F133" s="2">
        <v>0.44466435185185182</v>
      </c>
      <c r="G133" t="s">
        <v>26</v>
      </c>
      <c r="H133" t="s">
        <v>27</v>
      </c>
      <c r="I133">
        <v>3</v>
      </c>
      <c r="J133">
        <v>716.72</v>
      </c>
      <c r="L133" t="s">
        <v>55</v>
      </c>
      <c r="M133" t="s">
        <v>73</v>
      </c>
      <c r="N133" t="s">
        <v>172</v>
      </c>
    </row>
    <row r="134" spans="1:14" x14ac:dyDescent="0.35">
      <c r="A134" t="s">
        <v>367</v>
      </c>
      <c r="B134" t="s">
        <v>368</v>
      </c>
      <c r="C134" t="s">
        <v>40</v>
      </c>
      <c r="D134" t="s">
        <v>41</v>
      </c>
      <c r="E134" s="1">
        <v>45150</v>
      </c>
      <c r="F134" s="2">
        <v>0.77942129629629631</v>
      </c>
      <c r="G134" t="s">
        <v>26</v>
      </c>
      <c r="H134" t="s">
        <v>27</v>
      </c>
      <c r="I134">
        <v>1</v>
      </c>
      <c r="J134">
        <v>673.51</v>
      </c>
      <c r="L134" t="s">
        <v>42</v>
      </c>
      <c r="M134" t="s">
        <v>90</v>
      </c>
    </row>
    <row r="135" spans="1:14" x14ac:dyDescent="0.35">
      <c r="A135" t="s">
        <v>369</v>
      </c>
      <c r="B135" t="s">
        <v>370</v>
      </c>
      <c r="C135" t="s">
        <v>67</v>
      </c>
      <c r="D135" t="s">
        <v>16</v>
      </c>
      <c r="E135" s="1">
        <v>45839</v>
      </c>
      <c r="F135" s="2">
        <v>0.60403935185185187</v>
      </c>
      <c r="G135" t="s">
        <v>49</v>
      </c>
      <c r="H135" t="s">
        <v>50</v>
      </c>
      <c r="I135">
        <v>3</v>
      </c>
      <c r="J135">
        <v>178.7</v>
      </c>
      <c r="L135" t="s">
        <v>55</v>
      </c>
      <c r="M135" t="s">
        <v>36</v>
      </c>
      <c r="N135" t="s">
        <v>109</v>
      </c>
    </row>
    <row r="136" spans="1:14" x14ac:dyDescent="0.35">
      <c r="A136" t="s">
        <v>371</v>
      </c>
      <c r="B136" t="s">
        <v>372</v>
      </c>
      <c r="C136" t="s">
        <v>77</v>
      </c>
      <c r="D136" t="s">
        <v>63</v>
      </c>
      <c r="E136" s="1">
        <v>45902</v>
      </c>
      <c r="F136" s="2">
        <v>0.65745370370370371</v>
      </c>
      <c r="G136" t="s">
        <v>78</v>
      </c>
      <c r="H136" t="s">
        <v>79</v>
      </c>
      <c r="I136">
        <v>5</v>
      </c>
      <c r="L136" t="s">
        <v>19</v>
      </c>
      <c r="M136" t="s">
        <v>241</v>
      </c>
      <c r="N136" t="s">
        <v>125</v>
      </c>
    </row>
    <row r="137" spans="1:14" x14ac:dyDescent="0.35">
      <c r="A137" t="s">
        <v>373</v>
      </c>
      <c r="B137" t="s">
        <v>374</v>
      </c>
      <c r="C137" t="s">
        <v>62</v>
      </c>
      <c r="D137" t="s">
        <v>63</v>
      </c>
      <c r="E137" s="1">
        <v>46073</v>
      </c>
      <c r="F137" s="2">
        <v>0.63531249999999995</v>
      </c>
      <c r="G137" t="s">
        <v>78</v>
      </c>
      <c r="H137" t="s">
        <v>79</v>
      </c>
      <c r="I137">
        <v>3</v>
      </c>
      <c r="J137">
        <v>152.41</v>
      </c>
      <c r="L137" t="s">
        <v>55</v>
      </c>
      <c r="M137" t="s">
        <v>80</v>
      </c>
      <c r="N137" t="s">
        <v>231</v>
      </c>
    </row>
    <row r="138" spans="1:14" x14ac:dyDescent="0.35">
      <c r="A138" t="s">
        <v>375</v>
      </c>
      <c r="B138" t="s">
        <v>376</v>
      </c>
      <c r="C138" t="s">
        <v>70</v>
      </c>
      <c r="D138" t="s">
        <v>71</v>
      </c>
      <c r="E138" s="1">
        <v>46026</v>
      </c>
      <c r="F138" s="2">
        <v>0.55569444444444449</v>
      </c>
      <c r="G138" t="s">
        <v>78</v>
      </c>
      <c r="H138" t="s">
        <v>79</v>
      </c>
      <c r="I138">
        <v>11</v>
      </c>
      <c r="J138">
        <v>159.58000000000001</v>
      </c>
      <c r="L138" t="s">
        <v>28</v>
      </c>
      <c r="M138" t="s">
        <v>190</v>
      </c>
      <c r="N138" t="s">
        <v>30</v>
      </c>
    </row>
    <row r="139" spans="1:14" x14ac:dyDescent="0.35">
      <c r="A139" t="s">
        <v>377</v>
      </c>
      <c r="B139" t="s">
        <v>378</v>
      </c>
      <c r="C139" t="s">
        <v>128</v>
      </c>
      <c r="D139" t="s">
        <v>63</v>
      </c>
      <c r="E139" s="1">
        <v>46303</v>
      </c>
      <c r="F139" s="2">
        <v>0.54670138888888886</v>
      </c>
      <c r="G139" t="s">
        <v>33</v>
      </c>
      <c r="H139" t="s">
        <v>34</v>
      </c>
      <c r="I139">
        <v>6</v>
      </c>
      <c r="J139">
        <v>422.16</v>
      </c>
      <c r="L139" t="s">
        <v>42</v>
      </c>
      <c r="M139" t="s">
        <v>241</v>
      </c>
      <c r="N139" t="s">
        <v>103</v>
      </c>
    </row>
    <row r="140" spans="1:14" x14ac:dyDescent="0.35">
      <c r="A140" t="s">
        <v>379</v>
      </c>
      <c r="B140" t="s">
        <v>380</v>
      </c>
      <c r="C140" t="s">
        <v>67</v>
      </c>
      <c r="D140" t="s">
        <v>16</v>
      </c>
      <c r="E140" s="1">
        <v>45929</v>
      </c>
      <c r="F140" s="2">
        <v>0.42453703703703705</v>
      </c>
      <c r="G140" t="s">
        <v>78</v>
      </c>
      <c r="H140" t="s">
        <v>79</v>
      </c>
      <c r="I140">
        <v>14</v>
      </c>
      <c r="J140">
        <v>120.72</v>
      </c>
      <c r="L140" t="s">
        <v>35</v>
      </c>
      <c r="M140" t="s">
        <v>36</v>
      </c>
      <c r="N140" t="s">
        <v>103</v>
      </c>
    </row>
    <row r="141" spans="1:14" x14ac:dyDescent="0.35">
      <c r="A141" t="s">
        <v>381</v>
      </c>
      <c r="B141" t="s">
        <v>382</v>
      </c>
      <c r="C141" t="s">
        <v>77</v>
      </c>
      <c r="D141" t="s">
        <v>63</v>
      </c>
      <c r="E141" s="1">
        <v>45096</v>
      </c>
      <c r="F141" s="2">
        <v>0.86682870370370368</v>
      </c>
      <c r="G141" t="s">
        <v>154</v>
      </c>
      <c r="H141" t="s">
        <v>34</v>
      </c>
      <c r="J141">
        <v>377.73</v>
      </c>
      <c r="L141" t="s">
        <v>42</v>
      </c>
      <c r="M141" t="s">
        <v>80</v>
      </c>
    </row>
    <row r="142" spans="1:14" x14ac:dyDescent="0.35">
      <c r="A142" t="s">
        <v>383</v>
      </c>
      <c r="B142" t="s">
        <v>384</v>
      </c>
      <c r="C142" t="s">
        <v>40</v>
      </c>
      <c r="D142" t="s">
        <v>41</v>
      </c>
      <c r="E142" s="1">
        <v>45830</v>
      </c>
      <c r="F142" s="2">
        <v>0.58804398148148151</v>
      </c>
      <c r="G142" t="s">
        <v>26</v>
      </c>
      <c r="H142" t="s">
        <v>27</v>
      </c>
      <c r="I142">
        <v>1</v>
      </c>
      <c r="J142">
        <v>584.57000000000005</v>
      </c>
      <c r="L142" t="s">
        <v>55</v>
      </c>
      <c r="M142" t="s">
        <v>90</v>
      </c>
      <c r="N142" t="s">
        <v>44</v>
      </c>
    </row>
    <row r="143" spans="1:14" x14ac:dyDescent="0.35">
      <c r="A143" t="s">
        <v>385</v>
      </c>
      <c r="B143" t="s">
        <v>132</v>
      </c>
      <c r="C143" t="s">
        <v>98</v>
      </c>
      <c r="D143" t="s">
        <v>99</v>
      </c>
      <c r="E143" s="1">
        <v>45803</v>
      </c>
      <c r="F143" s="2">
        <v>0.71446759259259263</v>
      </c>
      <c r="G143" t="s">
        <v>26</v>
      </c>
      <c r="H143" t="s">
        <v>27</v>
      </c>
      <c r="I143">
        <v>13</v>
      </c>
      <c r="L143" t="s">
        <v>28</v>
      </c>
      <c r="M143" t="s">
        <v>100</v>
      </c>
    </row>
    <row r="144" spans="1:14" x14ac:dyDescent="0.35">
      <c r="A144" t="s">
        <v>386</v>
      </c>
      <c r="B144" t="s">
        <v>387</v>
      </c>
      <c r="C144" t="s">
        <v>15</v>
      </c>
      <c r="D144" t="s">
        <v>16</v>
      </c>
      <c r="E144" s="1">
        <v>45769</v>
      </c>
      <c r="F144" s="2">
        <v>0.53866898148148146</v>
      </c>
      <c r="G144" t="s">
        <v>163</v>
      </c>
      <c r="H144" t="s">
        <v>27</v>
      </c>
      <c r="I144">
        <v>3</v>
      </c>
      <c r="J144">
        <v>693.42</v>
      </c>
      <c r="L144" t="s">
        <v>35</v>
      </c>
      <c r="M144" t="s">
        <v>20</v>
      </c>
    </row>
    <row r="145" spans="1:14" x14ac:dyDescent="0.35">
      <c r="A145" t="s">
        <v>388</v>
      </c>
      <c r="B145" t="s">
        <v>389</v>
      </c>
      <c r="C145" t="s">
        <v>70</v>
      </c>
      <c r="D145" t="s">
        <v>71</v>
      </c>
      <c r="E145" s="1">
        <v>45982</v>
      </c>
      <c r="F145" s="2">
        <v>0.83328703703703699</v>
      </c>
      <c r="G145" t="s">
        <v>33</v>
      </c>
      <c r="H145" t="s">
        <v>34</v>
      </c>
      <c r="I145">
        <v>8</v>
      </c>
      <c r="J145">
        <v>320.49</v>
      </c>
      <c r="L145" t="s">
        <v>55</v>
      </c>
      <c r="M145" t="s">
        <v>73</v>
      </c>
      <c r="N145" t="s">
        <v>30</v>
      </c>
    </row>
    <row r="146" spans="1:14" x14ac:dyDescent="0.35">
      <c r="A146" t="s">
        <v>390</v>
      </c>
      <c r="B146" t="s">
        <v>391</v>
      </c>
      <c r="C146" t="s">
        <v>195</v>
      </c>
      <c r="D146" t="s">
        <v>63</v>
      </c>
      <c r="E146" s="1">
        <v>45476</v>
      </c>
      <c r="F146" s="2">
        <v>0.88774305555555555</v>
      </c>
      <c r="G146" t="s">
        <v>49</v>
      </c>
      <c r="H146" t="s">
        <v>50</v>
      </c>
      <c r="I146">
        <v>10</v>
      </c>
      <c r="J146">
        <v>262.70999999999998</v>
      </c>
      <c r="L146" t="s">
        <v>19</v>
      </c>
      <c r="M146" t="s">
        <v>241</v>
      </c>
    </row>
    <row r="147" spans="1:14" x14ac:dyDescent="0.35">
      <c r="A147" t="s">
        <v>392</v>
      </c>
      <c r="B147" t="s">
        <v>127</v>
      </c>
      <c r="C147" t="s">
        <v>106</v>
      </c>
      <c r="D147" t="s">
        <v>107</v>
      </c>
      <c r="E147" s="1">
        <v>46337</v>
      </c>
      <c r="F147" s="2">
        <v>0.76331018518518523</v>
      </c>
      <c r="G147" t="s">
        <v>154</v>
      </c>
      <c r="H147" t="s">
        <v>34</v>
      </c>
      <c r="J147">
        <v>336.48</v>
      </c>
      <c r="L147" t="s">
        <v>89</v>
      </c>
      <c r="M147" t="s">
        <v>112</v>
      </c>
      <c r="N147" t="s">
        <v>44</v>
      </c>
    </row>
    <row r="148" spans="1:14" x14ac:dyDescent="0.35">
      <c r="A148" t="s">
        <v>393</v>
      </c>
      <c r="B148" t="s">
        <v>394</v>
      </c>
      <c r="C148" t="s">
        <v>77</v>
      </c>
      <c r="D148" t="s">
        <v>63</v>
      </c>
      <c r="E148" s="1">
        <v>45198</v>
      </c>
      <c r="F148" s="2">
        <v>0.69685185185185183</v>
      </c>
      <c r="G148" t="s">
        <v>120</v>
      </c>
      <c r="H148" t="s">
        <v>18</v>
      </c>
      <c r="J148">
        <v>860.3</v>
      </c>
      <c r="L148" t="s">
        <v>42</v>
      </c>
      <c r="M148" t="s">
        <v>80</v>
      </c>
      <c r="N148" t="s">
        <v>249</v>
      </c>
    </row>
    <row r="149" spans="1:14" x14ac:dyDescent="0.35">
      <c r="A149" t="s">
        <v>395</v>
      </c>
      <c r="B149" t="s">
        <v>396</v>
      </c>
      <c r="C149" t="s">
        <v>139</v>
      </c>
      <c r="D149" t="s">
        <v>25</v>
      </c>
      <c r="E149" s="1">
        <v>45199</v>
      </c>
      <c r="F149" s="2">
        <v>0.39833333333333332</v>
      </c>
      <c r="G149" t="s">
        <v>120</v>
      </c>
      <c r="H149" t="s">
        <v>18</v>
      </c>
      <c r="I149">
        <v>3</v>
      </c>
      <c r="J149">
        <v>1161.22</v>
      </c>
      <c r="L149" t="s">
        <v>35</v>
      </c>
      <c r="M149" t="s">
        <v>155</v>
      </c>
    </row>
    <row r="150" spans="1:14" x14ac:dyDescent="0.35">
      <c r="A150" t="s">
        <v>397</v>
      </c>
      <c r="B150" t="s">
        <v>398</v>
      </c>
      <c r="C150" t="s">
        <v>169</v>
      </c>
      <c r="D150" t="s">
        <v>170</v>
      </c>
      <c r="E150" s="1">
        <v>45806</v>
      </c>
      <c r="F150" s="2">
        <v>0.83906250000000004</v>
      </c>
      <c r="G150" t="s">
        <v>33</v>
      </c>
      <c r="H150" t="s">
        <v>34</v>
      </c>
      <c r="I150">
        <v>4</v>
      </c>
      <c r="J150">
        <v>440</v>
      </c>
      <c r="L150" t="s">
        <v>158</v>
      </c>
      <c r="M150" t="s">
        <v>171</v>
      </c>
    </row>
    <row r="151" spans="1:14" x14ac:dyDescent="0.35">
      <c r="A151" t="s">
        <v>399</v>
      </c>
      <c r="B151" t="s">
        <v>400</v>
      </c>
      <c r="C151" t="s">
        <v>128</v>
      </c>
      <c r="D151" t="s">
        <v>63</v>
      </c>
      <c r="E151" s="1">
        <v>45417</v>
      </c>
      <c r="F151" s="2">
        <v>0.5883680555555556</v>
      </c>
      <c r="G151" t="s">
        <v>78</v>
      </c>
      <c r="H151" t="s">
        <v>79</v>
      </c>
      <c r="I151">
        <v>2</v>
      </c>
      <c r="J151">
        <v>193.33</v>
      </c>
      <c r="L151" t="s">
        <v>28</v>
      </c>
      <c r="M151" t="s">
        <v>241</v>
      </c>
      <c r="N151" t="s">
        <v>231</v>
      </c>
    </row>
    <row r="152" spans="1:14" x14ac:dyDescent="0.35">
      <c r="A152" t="s">
        <v>401</v>
      </c>
      <c r="B152" t="s">
        <v>402</v>
      </c>
      <c r="C152" t="s">
        <v>70</v>
      </c>
      <c r="D152" t="s">
        <v>71</v>
      </c>
      <c r="E152" s="1">
        <v>46129</v>
      </c>
      <c r="F152" s="2">
        <v>0.34459490740740739</v>
      </c>
      <c r="G152" t="s">
        <v>17</v>
      </c>
      <c r="H152" t="s">
        <v>18</v>
      </c>
      <c r="I152">
        <v>13</v>
      </c>
      <c r="J152">
        <v>943.24</v>
      </c>
      <c r="L152" t="s">
        <v>59</v>
      </c>
      <c r="M152" t="s">
        <v>190</v>
      </c>
      <c r="N152" t="s">
        <v>109</v>
      </c>
    </row>
    <row r="153" spans="1:14" x14ac:dyDescent="0.35">
      <c r="A153" t="s">
        <v>403</v>
      </c>
      <c r="B153" t="s">
        <v>404</v>
      </c>
      <c r="C153" t="s">
        <v>139</v>
      </c>
      <c r="D153" t="s">
        <v>25</v>
      </c>
      <c r="E153" s="1">
        <v>45596</v>
      </c>
      <c r="F153" s="2">
        <v>0.73666666666666669</v>
      </c>
      <c r="G153" t="s">
        <v>17</v>
      </c>
      <c r="H153" t="s">
        <v>18</v>
      </c>
      <c r="I153">
        <v>7</v>
      </c>
      <c r="J153">
        <v>1223.23</v>
      </c>
      <c r="L153" t="s">
        <v>55</v>
      </c>
      <c r="M153" t="s">
        <v>29</v>
      </c>
      <c r="N153" t="s">
        <v>166</v>
      </c>
    </row>
    <row r="154" spans="1:14" x14ac:dyDescent="0.35">
      <c r="A154" t="s">
        <v>405</v>
      </c>
      <c r="B154" t="s">
        <v>406</v>
      </c>
      <c r="C154" t="s">
        <v>407</v>
      </c>
      <c r="D154" t="s">
        <v>48</v>
      </c>
      <c r="E154" s="1">
        <v>45208</v>
      </c>
      <c r="F154" s="2">
        <v>0.43844907407407407</v>
      </c>
      <c r="G154" t="s">
        <v>184</v>
      </c>
      <c r="H154" t="s">
        <v>50</v>
      </c>
      <c r="I154">
        <v>14</v>
      </c>
      <c r="J154">
        <v>194.37</v>
      </c>
      <c r="L154" t="s">
        <v>35</v>
      </c>
      <c r="M154" t="s">
        <v>94</v>
      </c>
      <c r="N154" t="s">
        <v>37</v>
      </c>
    </row>
    <row r="155" spans="1:14" x14ac:dyDescent="0.35">
      <c r="A155" t="s">
        <v>408</v>
      </c>
      <c r="B155" t="s">
        <v>409</v>
      </c>
      <c r="C155" t="s">
        <v>136</v>
      </c>
      <c r="D155" t="s">
        <v>25</v>
      </c>
      <c r="E155" s="1">
        <v>45465</v>
      </c>
      <c r="F155" s="2">
        <v>0.64550925925925928</v>
      </c>
      <c r="G155" t="s">
        <v>266</v>
      </c>
      <c r="H155" t="s">
        <v>34</v>
      </c>
      <c r="J155">
        <v>353.38</v>
      </c>
      <c r="L155" t="s">
        <v>35</v>
      </c>
      <c r="M155" t="s">
        <v>29</v>
      </c>
      <c r="N155" t="s">
        <v>37</v>
      </c>
    </row>
    <row r="156" spans="1:14" x14ac:dyDescent="0.35">
      <c r="A156" t="s">
        <v>410</v>
      </c>
      <c r="B156" t="s">
        <v>411</v>
      </c>
      <c r="C156" t="s">
        <v>407</v>
      </c>
      <c r="D156" t="s">
        <v>48</v>
      </c>
      <c r="E156" s="1">
        <v>45021</v>
      </c>
      <c r="F156" s="2">
        <v>0.5590046296296296</v>
      </c>
      <c r="G156" t="s">
        <v>281</v>
      </c>
      <c r="H156" t="s">
        <v>27</v>
      </c>
      <c r="I156">
        <v>14</v>
      </c>
      <c r="L156" t="s">
        <v>42</v>
      </c>
      <c r="M156" t="s">
        <v>85</v>
      </c>
      <c r="N156" t="s">
        <v>133</v>
      </c>
    </row>
    <row r="157" spans="1:14" x14ac:dyDescent="0.35">
      <c r="A157" t="s">
        <v>412</v>
      </c>
      <c r="B157" t="s">
        <v>413</v>
      </c>
      <c r="C157" t="s">
        <v>47</v>
      </c>
      <c r="D157" t="s">
        <v>48</v>
      </c>
      <c r="E157" s="1">
        <v>45384</v>
      </c>
      <c r="F157" s="2">
        <v>0.58675925925925931</v>
      </c>
      <c r="G157" t="s">
        <v>78</v>
      </c>
      <c r="H157" t="s">
        <v>79</v>
      </c>
      <c r="I157">
        <v>13</v>
      </c>
      <c r="J157">
        <v>144.55000000000001</v>
      </c>
      <c r="L157" t="s">
        <v>59</v>
      </c>
      <c r="M157" t="s">
        <v>85</v>
      </c>
    </row>
    <row r="158" spans="1:14" x14ac:dyDescent="0.35">
      <c r="A158" t="s">
        <v>414</v>
      </c>
      <c r="B158" t="s">
        <v>317</v>
      </c>
      <c r="C158" t="s">
        <v>195</v>
      </c>
      <c r="D158" t="s">
        <v>63</v>
      </c>
      <c r="E158" s="1">
        <v>45235</v>
      </c>
      <c r="F158" s="2">
        <v>0.5841898148148148</v>
      </c>
      <c r="G158" t="s">
        <v>49</v>
      </c>
      <c r="H158" t="s">
        <v>50</v>
      </c>
      <c r="I158">
        <v>14</v>
      </c>
      <c r="J158">
        <v>177.06</v>
      </c>
      <c r="L158" t="s">
        <v>72</v>
      </c>
      <c r="M158" t="s">
        <v>64</v>
      </c>
    </row>
    <row r="159" spans="1:14" x14ac:dyDescent="0.35">
      <c r="A159" t="s">
        <v>415</v>
      </c>
      <c r="B159" t="s">
        <v>416</v>
      </c>
      <c r="C159" t="s">
        <v>47</v>
      </c>
      <c r="D159" t="s">
        <v>48</v>
      </c>
      <c r="E159" s="1">
        <v>46384</v>
      </c>
      <c r="F159" s="2">
        <v>0.37706018518518519</v>
      </c>
      <c r="G159" t="s">
        <v>26</v>
      </c>
      <c r="H159" t="s">
        <v>27</v>
      </c>
      <c r="I159">
        <v>9</v>
      </c>
      <c r="J159">
        <v>748.67</v>
      </c>
      <c r="L159" t="s">
        <v>42</v>
      </c>
      <c r="M159" t="s">
        <v>85</v>
      </c>
      <c r="N159" t="s">
        <v>109</v>
      </c>
    </row>
    <row r="160" spans="1:14" x14ac:dyDescent="0.35">
      <c r="A160" t="s">
        <v>417</v>
      </c>
      <c r="B160" t="s">
        <v>418</v>
      </c>
      <c r="C160" t="s">
        <v>106</v>
      </c>
      <c r="D160" t="s">
        <v>107</v>
      </c>
      <c r="E160" s="1">
        <v>45411</v>
      </c>
      <c r="F160" s="2">
        <v>0.53773148148148153</v>
      </c>
      <c r="G160" t="s">
        <v>78</v>
      </c>
      <c r="H160" t="s">
        <v>79</v>
      </c>
      <c r="I160">
        <v>12</v>
      </c>
      <c r="J160">
        <v>153.96</v>
      </c>
      <c r="L160" t="s">
        <v>89</v>
      </c>
      <c r="M160" t="s">
        <v>112</v>
      </c>
      <c r="N160" t="s">
        <v>37</v>
      </c>
    </row>
    <row r="161" spans="1:14" x14ac:dyDescent="0.35">
      <c r="A161" t="s">
        <v>419</v>
      </c>
      <c r="B161" t="s">
        <v>420</v>
      </c>
      <c r="C161" t="s">
        <v>15</v>
      </c>
      <c r="D161" t="s">
        <v>16</v>
      </c>
      <c r="E161" s="1">
        <v>45352</v>
      </c>
      <c r="F161" s="2">
        <v>0.52032407407407411</v>
      </c>
      <c r="G161" t="s">
        <v>17</v>
      </c>
      <c r="H161" t="s">
        <v>18</v>
      </c>
      <c r="J161">
        <v>952.11</v>
      </c>
      <c r="L161" t="s">
        <v>180</v>
      </c>
      <c r="M161" t="s">
        <v>36</v>
      </c>
      <c r="N161" t="s">
        <v>249</v>
      </c>
    </row>
    <row r="162" spans="1:14" x14ac:dyDescent="0.35">
      <c r="A162" t="s">
        <v>421</v>
      </c>
      <c r="B162" t="s">
        <v>422</v>
      </c>
      <c r="C162" t="s">
        <v>128</v>
      </c>
      <c r="D162" t="s">
        <v>63</v>
      </c>
      <c r="E162" s="1">
        <v>45283</v>
      </c>
      <c r="F162" s="2">
        <v>0.62115740740740744</v>
      </c>
      <c r="G162" t="s">
        <v>49</v>
      </c>
      <c r="H162" t="s">
        <v>50</v>
      </c>
      <c r="I162">
        <v>4</v>
      </c>
      <c r="L162" t="s">
        <v>147</v>
      </c>
      <c r="M162" t="s">
        <v>64</v>
      </c>
    </row>
    <row r="163" spans="1:14" x14ac:dyDescent="0.35">
      <c r="A163" t="s">
        <v>423</v>
      </c>
      <c r="B163" t="s">
        <v>424</v>
      </c>
      <c r="C163" t="s">
        <v>70</v>
      </c>
      <c r="D163" t="s">
        <v>71</v>
      </c>
      <c r="E163" s="1">
        <v>45080</v>
      </c>
      <c r="F163" s="2">
        <v>0.38399305555555557</v>
      </c>
      <c r="G163" t="s">
        <v>187</v>
      </c>
      <c r="H163" t="s">
        <v>79</v>
      </c>
      <c r="I163">
        <v>2</v>
      </c>
      <c r="J163">
        <v>182.2</v>
      </c>
      <c r="L163" t="s">
        <v>28</v>
      </c>
      <c r="M163" t="s">
        <v>73</v>
      </c>
      <c r="N163" t="s">
        <v>231</v>
      </c>
    </row>
    <row r="164" spans="1:14" x14ac:dyDescent="0.35">
      <c r="A164" t="s">
        <v>425</v>
      </c>
      <c r="B164" t="s">
        <v>426</v>
      </c>
      <c r="C164" t="s">
        <v>106</v>
      </c>
      <c r="D164" t="s">
        <v>107</v>
      </c>
      <c r="E164" s="1">
        <v>45651</v>
      </c>
      <c r="F164" s="2">
        <v>0.42866898148148147</v>
      </c>
      <c r="G164" t="s">
        <v>78</v>
      </c>
      <c r="H164" t="s">
        <v>79</v>
      </c>
      <c r="I164">
        <v>1</v>
      </c>
      <c r="J164">
        <v>166.27</v>
      </c>
      <c r="L164" t="s">
        <v>28</v>
      </c>
      <c r="M164" t="s">
        <v>112</v>
      </c>
      <c r="N164" t="s">
        <v>249</v>
      </c>
    </row>
    <row r="165" spans="1:14" x14ac:dyDescent="0.35">
      <c r="A165" t="s">
        <v>427</v>
      </c>
      <c r="B165" t="s">
        <v>428</v>
      </c>
      <c r="C165" t="s">
        <v>136</v>
      </c>
      <c r="D165" t="s">
        <v>25</v>
      </c>
      <c r="E165" s="1">
        <v>46218</v>
      </c>
      <c r="F165" s="2">
        <v>0.61857638888888888</v>
      </c>
      <c r="G165" t="s">
        <v>33</v>
      </c>
      <c r="H165" t="s">
        <v>34</v>
      </c>
      <c r="I165">
        <v>13</v>
      </c>
      <c r="J165">
        <v>502.54</v>
      </c>
      <c r="L165" t="s">
        <v>158</v>
      </c>
      <c r="M165" t="s">
        <v>29</v>
      </c>
    </row>
    <row r="166" spans="1:14" x14ac:dyDescent="0.35">
      <c r="A166" t="s">
        <v>429</v>
      </c>
      <c r="B166" t="s">
        <v>430</v>
      </c>
      <c r="C166" t="s">
        <v>77</v>
      </c>
      <c r="D166" t="s">
        <v>63</v>
      </c>
      <c r="E166" s="1">
        <v>46123</v>
      </c>
      <c r="F166" s="2">
        <v>0.42100694444444442</v>
      </c>
      <c r="G166" t="s">
        <v>26</v>
      </c>
      <c r="H166" t="s">
        <v>27</v>
      </c>
      <c r="I166">
        <v>14</v>
      </c>
      <c r="J166">
        <v>701.12</v>
      </c>
      <c r="L166" t="s">
        <v>35</v>
      </c>
      <c r="M166" t="s">
        <v>241</v>
      </c>
      <c r="N166" t="s">
        <v>125</v>
      </c>
    </row>
    <row r="167" spans="1:14" x14ac:dyDescent="0.35">
      <c r="A167" t="s">
        <v>431</v>
      </c>
      <c r="B167" t="s">
        <v>432</v>
      </c>
      <c r="C167" t="s">
        <v>40</v>
      </c>
      <c r="D167" t="s">
        <v>41</v>
      </c>
      <c r="E167" s="1">
        <v>46367</v>
      </c>
      <c r="F167" s="2">
        <v>0.73343749999999996</v>
      </c>
      <c r="G167" t="s">
        <v>49</v>
      </c>
      <c r="H167" t="s">
        <v>50</v>
      </c>
      <c r="I167">
        <v>14</v>
      </c>
      <c r="J167">
        <v>272.98</v>
      </c>
      <c r="L167" t="s">
        <v>433</v>
      </c>
      <c r="M167" t="s">
        <v>90</v>
      </c>
      <c r="N167" t="s">
        <v>166</v>
      </c>
    </row>
    <row r="168" spans="1:14" x14ac:dyDescent="0.35">
      <c r="A168" t="s">
        <v>434</v>
      </c>
      <c r="B168" t="s">
        <v>127</v>
      </c>
      <c r="C168" t="s">
        <v>88</v>
      </c>
      <c r="D168" t="s">
        <v>41</v>
      </c>
      <c r="E168" s="1">
        <v>45339</v>
      </c>
      <c r="F168" s="2">
        <v>0.5730439814814815</v>
      </c>
      <c r="G168" t="s">
        <v>33</v>
      </c>
      <c r="H168" t="s">
        <v>34</v>
      </c>
      <c r="J168">
        <v>460.94</v>
      </c>
      <c r="L168" t="s">
        <v>35</v>
      </c>
      <c r="M168" t="s">
        <v>43</v>
      </c>
      <c r="N168" t="s">
        <v>249</v>
      </c>
    </row>
    <row r="169" spans="1:14" x14ac:dyDescent="0.35">
      <c r="A169" t="s">
        <v>435</v>
      </c>
      <c r="B169" t="s">
        <v>436</v>
      </c>
      <c r="C169" t="s">
        <v>88</v>
      </c>
      <c r="D169" t="s">
        <v>41</v>
      </c>
      <c r="E169" s="1">
        <v>45587</v>
      </c>
      <c r="F169" s="2">
        <v>0.44892361111111112</v>
      </c>
      <c r="G169" t="s">
        <v>78</v>
      </c>
      <c r="H169" t="s">
        <v>79</v>
      </c>
      <c r="I169">
        <v>3</v>
      </c>
      <c r="J169">
        <v>162.15</v>
      </c>
      <c r="L169" t="s">
        <v>59</v>
      </c>
      <c r="M169" t="s">
        <v>437</v>
      </c>
      <c r="N169" t="s">
        <v>125</v>
      </c>
    </row>
    <row r="170" spans="1:14" x14ac:dyDescent="0.35">
      <c r="A170" t="s">
        <v>438</v>
      </c>
      <c r="B170" t="s">
        <v>439</v>
      </c>
      <c r="C170" t="s">
        <v>407</v>
      </c>
      <c r="D170" t="s">
        <v>48</v>
      </c>
      <c r="E170" s="1">
        <v>46100</v>
      </c>
      <c r="F170" s="2">
        <v>0.9094444444444445</v>
      </c>
      <c r="G170" t="s">
        <v>17</v>
      </c>
      <c r="H170" t="s">
        <v>18</v>
      </c>
      <c r="I170">
        <v>6</v>
      </c>
      <c r="J170">
        <v>1283.77</v>
      </c>
      <c r="L170" t="s">
        <v>35</v>
      </c>
      <c r="M170" t="s">
        <v>94</v>
      </c>
      <c r="N170" t="s">
        <v>133</v>
      </c>
    </row>
    <row r="171" spans="1:14" x14ac:dyDescent="0.35">
      <c r="A171" t="s">
        <v>440</v>
      </c>
      <c r="B171" t="s">
        <v>441</v>
      </c>
      <c r="C171" t="s">
        <v>70</v>
      </c>
      <c r="D171" t="s">
        <v>71</v>
      </c>
      <c r="E171" s="1">
        <v>45841</v>
      </c>
      <c r="F171" s="2">
        <v>0.50920138888888888</v>
      </c>
      <c r="G171" t="s">
        <v>17</v>
      </c>
      <c r="H171" t="s">
        <v>18</v>
      </c>
      <c r="I171">
        <v>13</v>
      </c>
      <c r="L171" t="s">
        <v>19</v>
      </c>
      <c r="M171" t="s">
        <v>73</v>
      </c>
      <c r="N171" t="s">
        <v>125</v>
      </c>
    </row>
    <row r="172" spans="1:14" x14ac:dyDescent="0.35">
      <c r="A172" t="s">
        <v>442</v>
      </c>
      <c r="B172" t="s">
        <v>443</v>
      </c>
      <c r="C172" t="s">
        <v>169</v>
      </c>
      <c r="D172" t="s">
        <v>170</v>
      </c>
      <c r="E172" s="1">
        <v>45908</v>
      </c>
      <c r="F172" s="2">
        <v>0.43615740740740738</v>
      </c>
      <c r="G172" t="s">
        <v>17</v>
      </c>
      <c r="H172" t="s">
        <v>18</v>
      </c>
      <c r="I172">
        <v>6</v>
      </c>
      <c r="J172">
        <v>852.36</v>
      </c>
      <c r="L172" t="s">
        <v>28</v>
      </c>
      <c r="M172" t="s">
        <v>272</v>
      </c>
      <c r="N172" t="s">
        <v>249</v>
      </c>
    </row>
    <row r="173" spans="1:14" x14ac:dyDescent="0.35">
      <c r="A173" t="s">
        <v>444</v>
      </c>
      <c r="B173" t="s">
        <v>445</v>
      </c>
      <c r="C173" t="s">
        <v>407</v>
      </c>
      <c r="D173" t="s">
        <v>48</v>
      </c>
      <c r="E173" s="1">
        <v>46265</v>
      </c>
      <c r="F173" s="2">
        <v>0.74753472222222217</v>
      </c>
      <c r="G173" t="s">
        <v>26</v>
      </c>
      <c r="H173" t="s">
        <v>27</v>
      </c>
      <c r="J173">
        <v>772.32</v>
      </c>
      <c r="L173" t="s">
        <v>42</v>
      </c>
      <c r="M173" t="s">
        <v>51</v>
      </c>
    </row>
    <row r="174" spans="1:14" x14ac:dyDescent="0.35">
      <c r="A174" t="s">
        <v>446</v>
      </c>
      <c r="B174" t="s">
        <v>447</v>
      </c>
      <c r="C174" t="s">
        <v>179</v>
      </c>
      <c r="D174" t="s">
        <v>41</v>
      </c>
      <c r="E174" s="1">
        <v>45241</v>
      </c>
      <c r="F174" s="2">
        <v>0.54197916666666668</v>
      </c>
      <c r="G174" t="s">
        <v>120</v>
      </c>
      <c r="H174" t="s">
        <v>18</v>
      </c>
      <c r="I174">
        <v>11</v>
      </c>
      <c r="J174">
        <v>1040.1600000000001</v>
      </c>
      <c r="L174" t="s">
        <v>19</v>
      </c>
      <c r="M174" t="s">
        <v>43</v>
      </c>
      <c r="N174" t="s">
        <v>249</v>
      </c>
    </row>
    <row r="175" spans="1:14" x14ac:dyDescent="0.35">
      <c r="A175" t="s">
        <v>448</v>
      </c>
      <c r="B175" t="s">
        <v>449</v>
      </c>
      <c r="C175" t="s">
        <v>77</v>
      </c>
      <c r="D175" t="s">
        <v>63</v>
      </c>
      <c r="E175" s="1">
        <v>45113</v>
      </c>
      <c r="F175" s="2">
        <v>0.43328703703703703</v>
      </c>
      <c r="G175" t="s">
        <v>78</v>
      </c>
      <c r="H175" t="s">
        <v>79</v>
      </c>
      <c r="I175">
        <v>8</v>
      </c>
      <c r="L175" t="s">
        <v>42</v>
      </c>
      <c r="M175" t="s">
        <v>241</v>
      </c>
      <c r="N175" t="s">
        <v>166</v>
      </c>
    </row>
    <row r="176" spans="1:14" x14ac:dyDescent="0.35">
      <c r="A176" t="s">
        <v>450</v>
      </c>
      <c r="B176" t="s">
        <v>451</v>
      </c>
      <c r="C176" t="s">
        <v>40</v>
      </c>
      <c r="D176" t="s">
        <v>41</v>
      </c>
      <c r="E176" s="1">
        <v>46134</v>
      </c>
      <c r="F176" s="2">
        <v>0.6693634259259259</v>
      </c>
      <c r="G176" t="s">
        <v>78</v>
      </c>
      <c r="H176" t="s">
        <v>79</v>
      </c>
      <c r="I176">
        <v>7</v>
      </c>
      <c r="J176">
        <v>171.53</v>
      </c>
      <c r="L176" t="s">
        <v>42</v>
      </c>
      <c r="M176" t="s">
        <v>43</v>
      </c>
      <c r="N176" t="s">
        <v>142</v>
      </c>
    </row>
    <row r="177" spans="1:14" x14ac:dyDescent="0.35">
      <c r="A177" t="s">
        <v>452</v>
      </c>
      <c r="B177" t="s">
        <v>453</v>
      </c>
      <c r="C177" t="s">
        <v>179</v>
      </c>
      <c r="D177" t="s">
        <v>41</v>
      </c>
      <c r="E177" s="1">
        <v>45173</v>
      </c>
      <c r="F177" s="2">
        <v>0.42376157407407405</v>
      </c>
      <c r="G177" t="s">
        <v>26</v>
      </c>
      <c r="H177" t="s">
        <v>27</v>
      </c>
      <c r="I177">
        <v>7</v>
      </c>
      <c r="L177" t="s">
        <v>42</v>
      </c>
      <c r="M177" t="s">
        <v>90</v>
      </c>
    </row>
    <row r="178" spans="1:14" x14ac:dyDescent="0.35">
      <c r="A178" t="s">
        <v>454</v>
      </c>
      <c r="B178" t="s">
        <v>455</v>
      </c>
      <c r="C178" t="s">
        <v>169</v>
      </c>
      <c r="D178" t="s">
        <v>170</v>
      </c>
      <c r="E178" s="1">
        <v>46057</v>
      </c>
      <c r="F178" s="2">
        <v>0.88718750000000002</v>
      </c>
      <c r="G178" t="s">
        <v>78</v>
      </c>
      <c r="H178" t="s">
        <v>79</v>
      </c>
      <c r="I178">
        <v>1</v>
      </c>
      <c r="J178">
        <v>166.73</v>
      </c>
      <c r="L178" t="s">
        <v>59</v>
      </c>
      <c r="M178" t="s">
        <v>171</v>
      </c>
      <c r="N178" t="s">
        <v>37</v>
      </c>
    </row>
    <row r="179" spans="1:14" x14ac:dyDescent="0.35">
      <c r="A179" t="s">
        <v>456</v>
      </c>
      <c r="B179" t="s">
        <v>457</v>
      </c>
      <c r="C179" t="s">
        <v>67</v>
      </c>
      <c r="D179" t="s">
        <v>16</v>
      </c>
      <c r="E179" s="1">
        <v>45768</v>
      </c>
      <c r="F179" s="2">
        <v>0.61216435185185181</v>
      </c>
      <c r="G179" t="s">
        <v>184</v>
      </c>
      <c r="H179" t="s">
        <v>50</v>
      </c>
      <c r="I179">
        <v>1</v>
      </c>
      <c r="J179">
        <v>220.33</v>
      </c>
      <c r="L179" t="s">
        <v>158</v>
      </c>
      <c r="M179" t="s">
        <v>20</v>
      </c>
      <c r="N179" t="s">
        <v>133</v>
      </c>
    </row>
    <row r="180" spans="1:14" x14ac:dyDescent="0.35">
      <c r="A180" t="s">
        <v>458</v>
      </c>
      <c r="B180" t="s">
        <v>459</v>
      </c>
      <c r="C180" t="s">
        <v>40</v>
      </c>
      <c r="D180" t="s">
        <v>41</v>
      </c>
      <c r="E180" s="1">
        <v>45618</v>
      </c>
      <c r="F180" s="2">
        <v>0.51241898148148146</v>
      </c>
      <c r="G180" t="s">
        <v>78</v>
      </c>
      <c r="H180" t="s">
        <v>79</v>
      </c>
      <c r="I180">
        <v>11</v>
      </c>
      <c r="L180" t="s">
        <v>35</v>
      </c>
      <c r="M180" t="s">
        <v>90</v>
      </c>
      <c r="N180" t="s">
        <v>133</v>
      </c>
    </row>
    <row r="181" spans="1:14" x14ac:dyDescent="0.35">
      <c r="A181" t="s">
        <v>460</v>
      </c>
      <c r="B181" t="s">
        <v>461</v>
      </c>
      <c r="C181" t="s">
        <v>150</v>
      </c>
      <c r="D181" t="s">
        <v>25</v>
      </c>
      <c r="E181" s="1">
        <v>45760</v>
      </c>
      <c r="F181" s="2">
        <v>0.85688657407407409</v>
      </c>
      <c r="G181" t="s">
        <v>33</v>
      </c>
      <c r="H181" t="s">
        <v>34</v>
      </c>
      <c r="I181">
        <v>9</v>
      </c>
      <c r="J181">
        <v>333.12</v>
      </c>
      <c r="L181" t="s">
        <v>59</v>
      </c>
      <c r="M181" t="s">
        <v>155</v>
      </c>
      <c r="N181" t="s">
        <v>21</v>
      </c>
    </row>
    <row r="182" spans="1:14" x14ac:dyDescent="0.35">
      <c r="A182" t="s">
        <v>462</v>
      </c>
      <c r="B182" t="s">
        <v>463</v>
      </c>
      <c r="C182" t="s">
        <v>24</v>
      </c>
      <c r="D182" t="s">
        <v>25</v>
      </c>
      <c r="E182" s="1">
        <v>45861</v>
      </c>
      <c r="F182" s="2">
        <v>0.57305555555555554</v>
      </c>
      <c r="G182" t="s">
        <v>33</v>
      </c>
      <c r="H182" t="s">
        <v>34</v>
      </c>
      <c r="I182">
        <v>8</v>
      </c>
      <c r="J182">
        <v>447.08</v>
      </c>
      <c r="L182" t="s">
        <v>55</v>
      </c>
      <c r="M182" t="s">
        <v>56</v>
      </c>
      <c r="N182" t="s">
        <v>95</v>
      </c>
    </row>
    <row r="183" spans="1:14" x14ac:dyDescent="0.35">
      <c r="A183" t="s">
        <v>464</v>
      </c>
      <c r="B183" t="s">
        <v>465</v>
      </c>
      <c r="C183" t="s">
        <v>40</v>
      </c>
      <c r="D183" t="s">
        <v>41</v>
      </c>
      <c r="E183" s="1">
        <v>45456</v>
      </c>
      <c r="F183" s="2">
        <v>0.50097222222222226</v>
      </c>
      <c r="G183" t="s">
        <v>17</v>
      </c>
      <c r="H183" t="s">
        <v>18</v>
      </c>
      <c r="I183">
        <v>10</v>
      </c>
      <c r="J183">
        <v>907.16</v>
      </c>
      <c r="L183" t="s">
        <v>35</v>
      </c>
      <c r="M183" t="s">
        <v>90</v>
      </c>
      <c r="N183" t="s">
        <v>231</v>
      </c>
    </row>
    <row r="184" spans="1:14" x14ac:dyDescent="0.35">
      <c r="A184" t="s">
        <v>466</v>
      </c>
      <c r="B184" t="s">
        <v>467</v>
      </c>
      <c r="C184" t="s">
        <v>407</v>
      </c>
      <c r="D184" t="s">
        <v>48</v>
      </c>
      <c r="E184" s="1">
        <v>45197</v>
      </c>
      <c r="F184" s="2">
        <v>0.74375000000000002</v>
      </c>
      <c r="G184" t="s">
        <v>26</v>
      </c>
      <c r="H184" t="s">
        <v>27</v>
      </c>
      <c r="I184">
        <v>13</v>
      </c>
      <c r="J184">
        <v>693.82</v>
      </c>
      <c r="L184" t="s">
        <v>28</v>
      </c>
      <c r="M184" t="s">
        <v>51</v>
      </c>
    </row>
    <row r="185" spans="1:14" x14ac:dyDescent="0.35">
      <c r="A185" t="s">
        <v>468</v>
      </c>
      <c r="B185" t="s">
        <v>469</v>
      </c>
      <c r="C185" t="s">
        <v>169</v>
      </c>
      <c r="D185" t="s">
        <v>170</v>
      </c>
      <c r="E185" s="1">
        <v>44942</v>
      </c>
      <c r="F185" s="2">
        <v>0.69557870370370367</v>
      </c>
      <c r="G185" t="s">
        <v>49</v>
      </c>
      <c r="H185" t="s">
        <v>50</v>
      </c>
      <c r="I185">
        <v>11</v>
      </c>
      <c r="L185" t="s">
        <v>55</v>
      </c>
      <c r="M185" t="s">
        <v>272</v>
      </c>
    </row>
    <row r="186" spans="1:14" x14ac:dyDescent="0.35">
      <c r="A186" t="s">
        <v>470</v>
      </c>
      <c r="B186" t="s">
        <v>471</v>
      </c>
      <c r="C186" t="s">
        <v>195</v>
      </c>
      <c r="D186" t="s">
        <v>63</v>
      </c>
      <c r="E186" s="1">
        <v>45986</v>
      </c>
      <c r="F186" s="2">
        <v>0.36937500000000001</v>
      </c>
      <c r="G186" t="s">
        <v>49</v>
      </c>
      <c r="H186" t="s">
        <v>50</v>
      </c>
      <c r="I186">
        <v>6</v>
      </c>
      <c r="J186">
        <v>255.34</v>
      </c>
      <c r="L186" t="s">
        <v>42</v>
      </c>
      <c r="M186" t="s">
        <v>64</v>
      </c>
      <c r="N186" t="s">
        <v>142</v>
      </c>
    </row>
    <row r="187" spans="1:14" x14ac:dyDescent="0.35">
      <c r="A187" t="s">
        <v>472</v>
      </c>
      <c r="B187" t="s">
        <v>473</v>
      </c>
      <c r="C187" t="s">
        <v>195</v>
      </c>
      <c r="D187" t="s">
        <v>63</v>
      </c>
      <c r="E187" s="1">
        <v>46387</v>
      </c>
      <c r="F187" s="2">
        <v>0.77407407407407403</v>
      </c>
      <c r="G187" t="s">
        <v>78</v>
      </c>
      <c r="H187" t="s">
        <v>79</v>
      </c>
      <c r="I187">
        <v>11</v>
      </c>
      <c r="J187">
        <v>142.51</v>
      </c>
      <c r="L187" t="s">
        <v>35</v>
      </c>
      <c r="M187" t="s">
        <v>241</v>
      </c>
      <c r="N187" t="s">
        <v>37</v>
      </c>
    </row>
    <row r="188" spans="1:14" x14ac:dyDescent="0.35">
      <c r="A188" t="s">
        <v>474</v>
      </c>
      <c r="B188" t="s">
        <v>243</v>
      </c>
      <c r="C188" t="s">
        <v>62</v>
      </c>
      <c r="D188" t="s">
        <v>63</v>
      </c>
      <c r="E188" s="1">
        <v>45614</v>
      </c>
      <c r="F188" s="2">
        <v>0.47377314814814814</v>
      </c>
      <c r="G188" t="s">
        <v>33</v>
      </c>
      <c r="H188" t="s">
        <v>34</v>
      </c>
      <c r="I188">
        <v>15</v>
      </c>
      <c r="J188">
        <v>372.11</v>
      </c>
      <c r="L188" t="s">
        <v>28</v>
      </c>
      <c r="M188" t="s">
        <v>64</v>
      </c>
      <c r="N188" t="s">
        <v>249</v>
      </c>
    </row>
    <row r="189" spans="1:14" x14ac:dyDescent="0.35">
      <c r="A189" t="s">
        <v>475</v>
      </c>
      <c r="B189" t="s">
        <v>476</v>
      </c>
      <c r="C189" t="s">
        <v>169</v>
      </c>
      <c r="D189" t="s">
        <v>170</v>
      </c>
      <c r="E189" s="1">
        <v>45773</v>
      </c>
      <c r="F189" s="2">
        <v>0.91260416666666666</v>
      </c>
      <c r="G189" t="s">
        <v>26</v>
      </c>
      <c r="H189" t="s">
        <v>27</v>
      </c>
      <c r="I189">
        <v>6</v>
      </c>
      <c r="J189">
        <v>650.82000000000005</v>
      </c>
      <c r="L189" t="s">
        <v>42</v>
      </c>
      <c r="M189" t="s">
        <v>171</v>
      </c>
      <c r="N189" t="s">
        <v>249</v>
      </c>
    </row>
    <row r="190" spans="1:14" x14ac:dyDescent="0.35">
      <c r="A190" t="s">
        <v>477</v>
      </c>
      <c r="B190" t="s">
        <v>105</v>
      </c>
      <c r="C190" t="s">
        <v>47</v>
      </c>
      <c r="D190" t="s">
        <v>48</v>
      </c>
      <c r="E190" s="1">
        <v>45852</v>
      </c>
      <c r="F190" s="2">
        <v>0.49223379629629632</v>
      </c>
      <c r="G190" t="s">
        <v>163</v>
      </c>
      <c r="H190" t="s">
        <v>27</v>
      </c>
      <c r="I190">
        <v>3</v>
      </c>
      <c r="J190">
        <v>709.07</v>
      </c>
      <c r="L190" t="s">
        <v>55</v>
      </c>
      <c r="M190" t="s">
        <v>85</v>
      </c>
      <c r="N190" t="s">
        <v>231</v>
      </c>
    </row>
    <row r="191" spans="1:14" x14ac:dyDescent="0.35">
      <c r="A191" t="s">
        <v>478</v>
      </c>
      <c r="B191" t="s">
        <v>479</v>
      </c>
      <c r="C191" t="s">
        <v>40</v>
      </c>
      <c r="D191" t="s">
        <v>41</v>
      </c>
      <c r="E191" s="1">
        <v>45586</v>
      </c>
      <c r="F191" s="2">
        <v>0.36319444444444443</v>
      </c>
      <c r="G191" t="s">
        <v>26</v>
      </c>
      <c r="H191" t="s">
        <v>27</v>
      </c>
      <c r="I191">
        <v>15</v>
      </c>
      <c r="J191">
        <v>518.67999999999995</v>
      </c>
      <c r="L191" t="s">
        <v>42</v>
      </c>
      <c r="M191" t="s">
        <v>90</v>
      </c>
      <c r="N191" t="s">
        <v>166</v>
      </c>
    </row>
    <row r="192" spans="1:14" x14ac:dyDescent="0.35">
      <c r="A192" t="s">
        <v>480</v>
      </c>
      <c r="B192" t="s">
        <v>481</v>
      </c>
      <c r="C192" t="s">
        <v>136</v>
      </c>
      <c r="D192" t="s">
        <v>25</v>
      </c>
      <c r="E192" s="1">
        <v>45815</v>
      </c>
      <c r="F192" s="2">
        <v>0.58160879629629625</v>
      </c>
      <c r="G192" t="s">
        <v>33</v>
      </c>
      <c r="H192" t="s">
        <v>34</v>
      </c>
      <c r="I192">
        <v>3</v>
      </c>
      <c r="J192">
        <v>503.64</v>
      </c>
      <c r="L192" t="s">
        <v>121</v>
      </c>
      <c r="M192" t="s">
        <v>56</v>
      </c>
      <c r="N192" t="s">
        <v>74</v>
      </c>
    </row>
    <row r="193" spans="1:14" x14ac:dyDescent="0.35">
      <c r="A193" t="s">
        <v>482</v>
      </c>
      <c r="B193" t="s">
        <v>283</v>
      </c>
      <c r="C193" t="s">
        <v>47</v>
      </c>
      <c r="D193" t="s">
        <v>48</v>
      </c>
      <c r="E193" s="1">
        <v>46238</v>
      </c>
      <c r="F193" s="2">
        <v>0.85739583333333336</v>
      </c>
      <c r="G193" t="s">
        <v>17</v>
      </c>
      <c r="H193" t="s">
        <v>18</v>
      </c>
      <c r="I193">
        <v>1</v>
      </c>
      <c r="J193">
        <v>1126.78</v>
      </c>
      <c r="L193" t="s">
        <v>19</v>
      </c>
      <c r="M193" t="s">
        <v>51</v>
      </c>
      <c r="N193" t="s">
        <v>37</v>
      </c>
    </row>
    <row r="194" spans="1:14" x14ac:dyDescent="0.35">
      <c r="A194" t="s">
        <v>483</v>
      </c>
      <c r="B194" t="s">
        <v>484</v>
      </c>
      <c r="C194" t="s">
        <v>407</v>
      </c>
      <c r="D194" t="s">
        <v>48</v>
      </c>
      <c r="E194" s="1">
        <v>45788</v>
      </c>
      <c r="F194" s="2">
        <v>0.77311342592592591</v>
      </c>
      <c r="G194" t="s">
        <v>49</v>
      </c>
      <c r="H194" t="s">
        <v>50</v>
      </c>
      <c r="I194">
        <v>3</v>
      </c>
      <c r="J194">
        <v>274.85000000000002</v>
      </c>
      <c r="L194" t="s">
        <v>59</v>
      </c>
      <c r="M194" t="s">
        <v>51</v>
      </c>
      <c r="N194" t="s">
        <v>37</v>
      </c>
    </row>
    <row r="195" spans="1:14" x14ac:dyDescent="0.35">
      <c r="A195" t="s">
        <v>485</v>
      </c>
      <c r="B195" t="s">
        <v>366</v>
      </c>
      <c r="C195" t="s">
        <v>136</v>
      </c>
      <c r="D195" t="s">
        <v>25</v>
      </c>
      <c r="E195" s="1">
        <v>45660</v>
      </c>
      <c r="F195" s="2">
        <v>0.50696759259259261</v>
      </c>
      <c r="G195" t="s">
        <v>184</v>
      </c>
      <c r="H195" t="s">
        <v>50</v>
      </c>
      <c r="I195">
        <v>4</v>
      </c>
      <c r="J195">
        <v>228.87</v>
      </c>
      <c r="L195" t="s">
        <v>89</v>
      </c>
      <c r="M195" t="s">
        <v>29</v>
      </c>
    </row>
    <row r="196" spans="1:14" x14ac:dyDescent="0.35">
      <c r="A196" t="s">
        <v>486</v>
      </c>
      <c r="B196" t="s">
        <v>487</v>
      </c>
      <c r="C196" t="s">
        <v>15</v>
      </c>
      <c r="D196" t="s">
        <v>16</v>
      </c>
      <c r="E196" s="1">
        <v>46246</v>
      </c>
      <c r="F196" s="2">
        <v>0.63768518518518513</v>
      </c>
      <c r="G196" t="s">
        <v>187</v>
      </c>
      <c r="H196" t="s">
        <v>79</v>
      </c>
      <c r="J196">
        <v>185.56</v>
      </c>
      <c r="L196" t="s">
        <v>28</v>
      </c>
      <c r="M196" t="s">
        <v>36</v>
      </c>
    </row>
    <row r="197" spans="1:14" x14ac:dyDescent="0.35">
      <c r="A197" t="s">
        <v>488</v>
      </c>
      <c r="B197" t="s">
        <v>489</v>
      </c>
      <c r="C197" t="s">
        <v>139</v>
      </c>
      <c r="D197" t="s">
        <v>25</v>
      </c>
      <c r="E197" s="1">
        <v>46252</v>
      </c>
      <c r="F197" s="2">
        <v>0.55760416666666668</v>
      </c>
      <c r="G197" t="s">
        <v>78</v>
      </c>
      <c r="H197" t="s">
        <v>79</v>
      </c>
      <c r="I197">
        <v>5</v>
      </c>
      <c r="J197">
        <v>126.97</v>
      </c>
      <c r="L197" t="s">
        <v>28</v>
      </c>
      <c r="M197" t="s">
        <v>29</v>
      </c>
    </row>
    <row r="198" spans="1:14" x14ac:dyDescent="0.35">
      <c r="A198" t="s">
        <v>490</v>
      </c>
      <c r="B198" t="s">
        <v>224</v>
      </c>
      <c r="C198" t="s">
        <v>62</v>
      </c>
      <c r="D198" t="s">
        <v>63</v>
      </c>
      <c r="E198" s="1">
        <v>45198</v>
      </c>
      <c r="F198" s="2">
        <v>0.88201388888888888</v>
      </c>
      <c r="G198" t="s">
        <v>78</v>
      </c>
      <c r="H198" t="s">
        <v>79</v>
      </c>
      <c r="I198">
        <v>8</v>
      </c>
      <c r="J198">
        <v>170.88</v>
      </c>
      <c r="L198" t="s">
        <v>35</v>
      </c>
      <c r="M198" t="s">
        <v>241</v>
      </c>
      <c r="N198" t="s">
        <v>109</v>
      </c>
    </row>
    <row r="199" spans="1:14" x14ac:dyDescent="0.35">
      <c r="A199" t="s">
        <v>491</v>
      </c>
      <c r="B199" t="s">
        <v>492</v>
      </c>
      <c r="C199" t="s">
        <v>47</v>
      </c>
      <c r="D199" t="s">
        <v>48</v>
      </c>
      <c r="E199" s="1">
        <v>45462</v>
      </c>
      <c r="F199" s="2">
        <v>0.3652199074074074</v>
      </c>
      <c r="G199" t="s">
        <v>49</v>
      </c>
      <c r="H199" t="s">
        <v>50</v>
      </c>
      <c r="I199">
        <v>10</v>
      </c>
      <c r="J199">
        <v>200.64</v>
      </c>
      <c r="L199" t="s">
        <v>28</v>
      </c>
      <c r="M199" t="s">
        <v>85</v>
      </c>
      <c r="N199" t="s">
        <v>231</v>
      </c>
    </row>
    <row r="200" spans="1:14" x14ac:dyDescent="0.35">
      <c r="A200" t="s">
        <v>493</v>
      </c>
      <c r="B200" t="s">
        <v>494</v>
      </c>
      <c r="C200" t="s">
        <v>169</v>
      </c>
      <c r="D200" t="s">
        <v>170</v>
      </c>
      <c r="E200" s="1">
        <v>46070</v>
      </c>
      <c r="F200" s="2">
        <v>0.36248842592592595</v>
      </c>
      <c r="G200" t="s">
        <v>26</v>
      </c>
      <c r="H200" t="s">
        <v>27</v>
      </c>
      <c r="I200">
        <v>8</v>
      </c>
      <c r="J200">
        <v>740.82</v>
      </c>
      <c r="L200" t="s">
        <v>55</v>
      </c>
      <c r="M200" t="s">
        <v>272</v>
      </c>
    </row>
    <row r="201" spans="1:14" x14ac:dyDescent="0.35">
      <c r="A201" t="s">
        <v>495</v>
      </c>
      <c r="B201" t="s">
        <v>496</v>
      </c>
      <c r="C201" t="s">
        <v>24</v>
      </c>
      <c r="D201" t="s">
        <v>25</v>
      </c>
      <c r="E201" s="1">
        <v>45867</v>
      </c>
      <c r="F201" s="2">
        <v>0.85865740740740737</v>
      </c>
      <c r="G201" t="s">
        <v>17</v>
      </c>
      <c r="H201" t="s">
        <v>18</v>
      </c>
      <c r="I201">
        <v>8</v>
      </c>
      <c r="J201">
        <v>1290.3399999999999</v>
      </c>
      <c r="L201" t="s">
        <v>55</v>
      </c>
      <c r="M201" t="s">
        <v>56</v>
      </c>
      <c r="N201" t="s">
        <v>21</v>
      </c>
    </row>
    <row r="202" spans="1:14" x14ac:dyDescent="0.35">
      <c r="A202" t="s">
        <v>497</v>
      </c>
      <c r="B202" t="s">
        <v>498</v>
      </c>
      <c r="C202" t="s">
        <v>128</v>
      </c>
      <c r="D202" t="s">
        <v>63</v>
      </c>
      <c r="E202" s="1">
        <v>46267</v>
      </c>
      <c r="F202" s="2">
        <v>0.5582407407407407</v>
      </c>
      <c r="G202" t="s">
        <v>17</v>
      </c>
      <c r="H202" t="s">
        <v>18</v>
      </c>
      <c r="I202">
        <v>14</v>
      </c>
      <c r="J202">
        <v>1080.08</v>
      </c>
      <c r="L202" t="s">
        <v>59</v>
      </c>
      <c r="M202" t="s">
        <v>241</v>
      </c>
    </row>
    <row r="203" spans="1:14" x14ac:dyDescent="0.35">
      <c r="A203" t="s">
        <v>499</v>
      </c>
      <c r="B203" t="s">
        <v>500</v>
      </c>
      <c r="C203" t="s">
        <v>40</v>
      </c>
      <c r="D203" t="s">
        <v>41</v>
      </c>
      <c r="E203" s="1">
        <v>46048</v>
      </c>
      <c r="F203" s="2">
        <v>0.79585648148148147</v>
      </c>
      <c r="G203" t="s">
        <v>26</v>
      </c>
      <c r="H203" t="s">
        <v>27</v>
      </c>
      <c r="I203">
        <v>14</v>
      </c>
      <c r="J203">
        <v>696.47</v>
      </c>
      <c r="L203" t="s">
        <v>55</v>
      </c>
      <c r="M203" t="s">
        <v>43</v>
      </c>
      <c r="N203" t="s">
        <v>142</v>
      </c>
    </row>
    <row r="204" spans="1:14" x14ac:dyDescent="0.35">
      <c r="A204" t="s">
        <v>501</v>
      </c>
      <c r="B204" t="s">
        <v>502</v>
      </c>
      <c r="C204" t="s">
        <v>15</v>
      </c>
      <c r="D204" t="s">
        <v>16</v>
      </c>
      <c r="E204" s="1">
        <v>45022</v>
      </c>
      <c r="F204" s="2">
        <v>0.87324074074074076</v>
      </c>
      <c r="G204" t="s">
        <v>78</v>
      </c>
      <c r="H204" t="s">
        <v>79</v>
      </c>
      <c r="I204">
        <v>9</v>
      </c>
      <c r="J204">
        <v>157.41</v>
      </c>
      <c r="L204" t="s">
        <v>59</v>
      </c>
      <c r="M204" t="s">
        <v>36</v>
      </c>
      <c r="N204" t="s">
        <v>103</v>
      </c>
    </row>
    <row r="205" spans="1:14" x14ac:dyDescent="0.35">
      <c r="A205" t="s">
        <v>503</v>
      </c>
      <c r="B205" t="s">
        <v>504</v>
      </c>
      <c r="C205" t="s">
        <v>179</v>
      </c>
      <c r="D205" t="s">
        <v>41</v>
      </c>
      <c r="E205" s="1">
        <v>45189</v>
      </c>
      <c r="F205" s="2">
        <v>0.61293981481481485</v>
      </c>
      <c r="G205" t="s">
        <v>49</v>
      </c>
      <c r="H205" t="s">
        <v>50</v>
      </c>
      <c r="I205">
        <v>9</v>
      </c>
      <c r="J205">
        <v>222.05</v>
      </c>
      <c r="L205" t="s">
        <v>59</v>
      </c>
      <c r="M205" t="s">
        <v>90</v>
      </c>
      <c r="N205" t="s">
        <v>133</v>
      </c>
    </row>
    <row r="206" spans="1:14" x14ac:dyDescent="0.35">
      <c r="A206" t="s">
        <v>505</v>
      </c>
      <c r="B206" t="s">
        <v>506</v>
      </c>
      <c r="C206" t="s">
        <v>98</v>
      </c>
      <c r="D206" t="s">
        <v>99</v>
      </c>
      <c r="E206" s="1">
        <v>45976</v>
      </c>
      <c r="F206" s="2">
        <v>0.90596064814814814</v>
      </c>
      <c r="G206" t="s">
        <v>33</v>
      </c>
      <c r="H206" t="s">
        <v>34</v>
      </c>
      <c r="I206">
        <v>15</v>
      </c>
      <c r="J206">
        <v>363.47</v>
      </c>
      <c r="L206" t="s">
        <v>35</v>
      </c>
      <c r="M206" t="s">
        <v>100</v>
      </c>
      <c r="N206" t="s">
        <v>109</v>
      </c>
    </row>
    <row r="207" spans="1:14" x14ac:dyDescent="0.35">
      <c r="A207" t="s">
        <v>507</v>
      </c>
      <c r="B207" t="s">
        <v>508</v>
      </c>
      <c r="C207" t="s">
        <v>67</v>
      </c>
      <c r="D207" t="s">
        <v>16</v>
      </c>
      <c r="E207" s="1">
        <v>46381</v>
      </c>
      <c r="F207" s="2">
        <v>0.84901620370370368</v>
      </c>
      <c r="G207" t="s">
        <v>187</v>
      </c>
      <c r="H207" t="s">
        <v>79</v>
      </c>
      <c r="I207">
        <v>11</v>
      </c>
      <c r="J207">
        <v>170.57</v>
      </c>
      <c r="L207" t="s">
        <v>59</v>
      </c>
      <c r="M207" t="s">
        <v>20</v>
      </c>
    </row>
    <row r="208" spans="1:14" x14ac:dyDescent="0.35">
      <c r="A208" t="s">
        <v>509</v>
      </c>
      <c r="B208" t="s">
        <v>510</v>
      </c>
      <c r="C208" t="s">
        <v>195</v>
      </c>
      <c r="D208" t="s">
        <v>63</v>
      </c>
      <c r="E208" s="1">
        <v>45256</v>
      </c>
      <c r="F208" s="2">
        <v>0.76121527777777775</v>
      </c>
      <c r="G208" t="s">
        <v>17</v>
      </c>
      <c r="H208" t="s">
        <v>18</v>
      </c>
      <c r="I208">
        <v>5</v>
      </c>
      <c r="J208">
        <v>1070.5899999999999</v>
      </c>
      <c r="L208" t="s">
        <v>28</v>
      </c>
      <c r="M208" t="s">
        <v>241</v>
      </c>
      <c r="N208" t="s">
        <v>44</v>
      </c>
    </row>
    <row r="209" spans="1:14" x14ac:dyDescent="0.35">
      <c r="A209" t="s">
        <v>511</v>
      </c>
      <c r="B209" t="s">
        <v>512</v>
      </c>
      <c r="C209" t="s">
        <v>128</v>
      </c>
      <c r="D209" t="s">
        <v>63</v>
      </c>
      <c r="E209" s="1">
        <v>45708</v>
      </c>
      <c r="F209" s="2">
        <v>0.6185532407407407</v>
      </c>
      <c r="G209" t="s">
        <v>33</v>
      </c>
      <c r="H209" t="s">
        <v>34</v>
      </c>
      <c r="I209">
        <v>1</v>
      </c>
      <c r="L209" t="s">
        <v>28</v>
      </c>
      <c r="M209" t="s">
        <v>241</v>
      </c>
      <c r="N209" t="s">
        <v>95</v>
      </c>
    </row>
    <row r="210" spans="1:14" x14ac:dyDescent="0.35">
      <c r="A210" t="s">
        <v>513</v>
      </c>
      <c r="B210" t="s">
        <v>514</v>
      </c>
      <c r="C210" t="s">
        <v>40</v>
      </c>
      <c r="D210" t="s">
        <v>41</v>
      </c>
      <c r="E210" s="1">
        <v>45323</v>
      </c>
      <c r="F210" s="2">
        <v>0.63313657407407409</v>
      </c>
      <c r="G210" t="s">
        <v>17</v>
      </c>
      <c r="H210" t="s">
        <v>18</v>
      </c>
      <c r="I210">
        <v>3</v>
      </c>
      <c r="J210">
        <v>859.68</v>
      </c>
      <c r="L210" t="s">
        <v>55</v>
      </c>
      <c r="M210" t="s">
        <v>90</v>
      </c>
    </row>
    <row r="211" spans="1:14" x14ac:dyDescent="0.35">
      <c r="A211" t="s">
        <v>515</v>
      </c>
      <c r="B211" t="s">
        <v>339</v>
      </c>
      <c r="C211" t="s">
        <v>139</v>
      </c>
      <c r="D211" t="s">
        <v>25</v>
      </c>
      <c r="E211" s="1">
        <v>46149</v>
      </c>
      <c r="F211" s="2">
        <v>0.87476851851851856</v>
      </c>
      <c r="G211" t="s">
        <v>49</v>
      </c>
      <c r="H211" t="s">
        <v>50</v>
      </c>
      <c r="I211">
        <v>5</v>
      </c>
      <c r="J211">
        <v>238.99</v>
      </c>
      <c r="L211" t="s">
        <v>72</v>
      </c>
      <c r="M211" t="s">
        <v>155</v>
      </c>
      <c r="N211" t="s">
        <v>125</v>
      </c>
    </row>
    <row r="212" spans="1:14" x14ac:dyDescent="0.35">
      <c r="A212" t="s">
        <v>516</v>
      </c>
      <c r="B212" t="s">
        <v>517</v>
      </c>
      <c r="C212" t="s">
        <v>67</v>
      </c>
      <c r="D212" t="s">
        <v>16</v>
      </c>
      <c r="E212" s="1">
        <v>45115</v>
      </c>
      <c r="F212" s="2">
        <v>0.49737268518518518</v>
      </c>
      <c r="G212" t="s">
        <v>33</v>
      </c>
      <c r="H212" t="s">
        <v>34</v>
      </c>
      <c r="I212">
        <v>5</v>
      </c>
      <c r="J212">
        <v>470.53</v>
      </c>
      <c r="L212" t="s">
        <v>59</v>
      </c>
      <c r="M212" t="s">
        <v>20</v>
      </c>
    </row>
    <row r="213" spans="1:14" x14ac:dyDescent="0.35">
      <c r="A213" t="s">
        <v>518</v>
      </c>
      <c r="B213" t="s">
        <v>344</v>
      </c>
      <c r="C213" t="s">
        <v>98</v>
      </c>
      <c r="D213" t="s">
        <v>99</v>
      </c>
      <c r="E213" s="1">
        <v>45426</v>
      </c>
      <c r="F213" s="2">
        <v>0.78912037037037042</v>
      </c>
      <c r="G213" t="s">
        <v>187</v>
      </c>
      <c r="H213" t="s">
        <v>79</v>
      </c>
      <c r="I213">
        <v>2</v>
      </c>
      <c r="J213">
        <v>160.52000000000001</v>
      </c>
      <c r="L213" t="s">
        <v>72</v>
      </c>
      <c r="M213" t="s">
        <v>100</v>
      </c>
      <c r="N213" t="s">
        <v>172</v>
      </c>
    </row>
    <row r="214" spans="1:14" x14ac:dyDescent="0.35">
      <c r="A214" t="s">
        <v>519</v>
      </c>
      <c r="B214" t="s">
        <v>520</v>
      </c>
      <c r="C214" t="s">
        <v>195</v>
      </c>
      <c r="D214" t="s">
        <v>63</v>
      </c>
      <c r="E214" s="1">
        <v>45979</v>
      </c>
      <c r="F214" s="2">
        <v>0.3825115740740741</v>
      </c>
      <c r="G214" t="s">
        <v>49</v>
      </c>
      <c r="H214" t="s">
        <v>50</v>
      </c>
      <c r="I214">
        <v>11</v>
      </c>
      <c r="L214" t="s">
        <v>35</v>
      </c>
      <c r="M214" t="s">
        <v>241</v>
      </c>
      <c r="N214" t="s">
        <v>231</v>
      </c>
    </row>
    <row r="215" spans="1:14" x14ac:dyDescent="0.35">
      <c r="A215" t="s">
        <v>521</v>
      </c>
      <c r="B215" t="s">
        <v>522</v>
      </c>
      <c r="C215" t="s">
        <v>407</v>
      </c>
      <c r="D215" t="s">
        <v>48</v>
      </c>
      <c r="E215" s="1">
        <v>45606</v>
      </c>
      <c r="F215" s="2">
        <v>0.3778125</v>
      </c>
      <c r="G215" t="s">
        <v>281</v>
      </c>
      <c r="H215" t="s">
        <v>27</v>
      </c>
      <c r="I215">
        <v>9</v>
      </c>
      <c r="L215" t="s">
        <v>35</v>
      </c>
      <c r="M215" t="s">
        <v>51</v>
      </c>
      <c r="N215" t="s">
        <v>142</v>
      </c>
    </row>
    <row r="216" spans="1:14" x14ac:dyDescent="0.35">
      <c r="A216" t="s">
        <v>523</v>
      </c>
      <c r="B216" t="s">
        <v>315</v>
      </c>
      <c r="C216" t="s">
        <v>407</v>
      </c>
      <c r="D216" t="s">
        <v>48</v>
      </c>
      <c r="E216" s="1">
        <v>46193</v>
      </c>
      <c r="F216" s="2">
        <v>0.86640046296296291</v>
      </c>
      <c r="G216" t="s">
        <v>54</v>
      </c>
      <c r="H216" t="s">
        <v>18</v>
      </c>
      <c r="I216">
        <v>2</v>
      </c>
      <c r="J216">
        <v>1051.42</v>
      </c>
      <c r="L216" t="s">
        <v>28</v>
      </c>
      <c r="M216" t="s">
        <v>94</v>
      </c>
      <c r="N216" t="s">
        <v>95</v>
      </c>
    </row>
    <row r="217" spans="1:14" x14ac:dyDescent="0.35">
      <c r="A217" t="s">
        <v>524</v>
      </c>
      <c r="B217" t="s">
        <v>525</v>
      </c>
      <c r="C217" t="s">
        <v>67</v>
      </c>
      <c r="D217" t="s">
        <v>16</v>
      </c>
      <c r="E217" s="1">
        <v>45206</v>
      </c>
      <c r="F217" s="2">
        <v>0.86937500000000001</v>
      </c>
      <c r="G217" t="s">
        <v>184</v>
      </c>
      <c r="H217" t="s">
        <v>50</v>
      </c>
      <c r="I217">
        <v>11</v>
      </c>
      <c r="J217">
        <v>250.5</v>
      </c>
      <c r="L217" t="s">
        <v>240</v>
      </c>
      <c r="M217" t="s">
        <v>36</v>
      </c>
    </row>
    <row r="218" spans="1:14" x14ac:dyDescent="0.35">
      <c r="A218" t="s">
        <v>526</v>
      </c>
      <c r="B218" t="s">
        <v>527</v>
      </c>
      <c r="C218" t="s">
        <v>67</v>
      </c>
      <c r="D218" t="s">
        <v>16</v>
      </c>
      <c r="E218" s="1">
        <v>45551</v>
      </c>
      <c r="F218" s="2">
        <v>0.82496527777777773</v>
      </c>
      <c r="G218" t="s">
        <v>33</v>
      </c>
      <c r="H218" t="s">
        <v>34</v>
      </c>
      <c r="I218">
        <v>15</v>
      </c>
      <c r="J218">
        <v>422.51</v>
      </c>
      <c r="L218" t="s">
        <v>35</v>
      </c>
      <c r="M218" t="s">
        <v>36</v>
      </c>
      <c r="N218" t="s">
        <v>37</v>
      </c>
    </row>
    <row r="219" spans="1:14" x14ac:dyDescent="0.35">
      <c r="A219" t="s">
        <v>528</v>
      </c>
      <c r="B219" t="s">
        <v>529</v>
      </c>
      <c r="C219" t="s">
        <v>67</v>
      </c>
      <c r="D219" t="s">
        <v>16</v>
      </c>
      <c r="E219" s="1">
        <v>46247</v>
      </c>
      <c r="F219" s="2">
        <v>0.52921296296296294</v>
      </c>
      <c r="G219" t="s">
        <v>33</v>
      </c>
      <c r="H219" t="s">
        <v>34</v>
      </c>
      <c r="J219">
        <v>417.44</v>
      </c>
      <c r="L219" t="s">
        <v>28</v>
      </c>
      <c r="M219" t="s">
        <v>20</v>
      </c>
    </row>
    <row r="220" spans="1:14" x14ac:dyDescent="0.35">
      <c r="A220" t="s">
        <v>530</v>
      </c>
      <c r="B220" t="s">
        <v>531</v>
      </c>
      <c r="C220" t="s">
        <v>88</v>
      </c>
      <c r="D220" t="s">
        <v>41</v>
      </c>
      <c r="E220" s="1">
        <v>46277</v>
      </c>
      <c r="F220" s="2">
        <v>0.81746527777777778</v>
      </c>
      <c r="G220" t="s">
        <v>49</v>
      </c>
      <c r="H220" t="s">
        <v>50</v>
      </c>
      <c r="I220">
        <v>13</v>
      </c>
      <c r="J220">
        <v>223.11</v>
      </c>
      <c r="L220" t="s">
        <v>55</v>
      </c>
      <c r="M220" t="s">
        <v>43</v>
      </c>
      <c r="N220" t="s">
        <v>231</v>
      </c>
    </row>
    <row r="221" spans="1:14" x14ac:dyDescent="0.35">
      <c r="A221" t="s">
        <v>532</v>
      </c>
      <c r="B221" t="s">
        <v>276</v>
      </c>
      <c r="C221" t="s">
        <v>77</v>
      </c>
      <c r="D221" t="s">
        <v>63</v>
      </c>
      <c r="E221" s="1">
        <v>45839</v>
      </c>
      <c r="F221" s="2">
        <v>0.84688657407407408</v>
      </c>
      <c r="G221" t="s">
        <v>49</v>
      </c>
      <c r="H221" t="s">
        <v>50</v>
      </c>
      <c r="I221">
        <v>11</v>
      </c>
      <c r="J221">
        <v>268.60000000000002</v>
      </c>
      <c r="L221" t="s">
        <v>35</v>
      </c>
      <c r="M221" t="s">
        <v>241</v>
      </c>
      <c r="N221" t="s">
        <v>249</v>
      </c>
    </row>
    <row r="222" spans="1:14" x14ac:dyDescent="0.35">
      <c r="A222" t="s">
        <v>533</v>
      </c>
      <c r="B222" t="s">
        <v>534</v>
      </c>
      <c r="C222" t="s">
        <v>407</v>
      </c>
      <c r="D222" t="s">
        <v>48</v>
      </c>
      <c r="E222" s="1">
        <v>46112</v>
      </c>
      <c r="F222" s="2">
        <v>0.85917824074074078</v>
      </c>
      <c r="G222" t="s">
        <v>17</v>
      </c>
      <c r="H222" t="s">
        <v>18</v>
      </c>
      <c r="I222">
        <v>9</v>
      </c>
      <c r="J222">
        <v>1069.8399999999999</v>
      </c>
      <c r="L222" t="s">
        <v>35</v>
      </c>
      <c r="M222" t="s">
        <v>94</v>
      </c>
    </row>
    <row r="223" spans="1:14" x14ac:dyDescent="0.35">
      <c r="A223" t="s">
        <v>535</v>
      </c>
      <c r="B223" t="s">
        <v>536</v>
      </c>
      <c r="C223" t="s">
        <v>136</v>
      </c>
      <c r="D223" t="s">
        <v>25</v>
      </c>
      <c r="E223" s="1">
        <v>46284</v>
      </c>
      <c r="F223" s="2">
        <v>0.9108680555555555</v>
      </c>
      <c r="G223" t="s">
        <v>281</v>
      </c>
      <c r="H223" t="s">
        <v>27</v>
      </c>
      <c r="I223">
        <v>3</v>
      </c>
      <c r="J223">
        <v>533.74</v>
      </c>
      <c r="L223" t="s">
        <v>59</v>
      </c>
      <c r="M223" t="s">
        <v>29</v>
      </c>
      <c r="N223" t="s">
        <v>103</v>
      </c>
    </row>
    <row r="224" spans="1:14" x14ac:dyDescent="0.35">
      <c r="A224" t="s">
        <v>537</v>
      </c>
      <c r="B224" t="s">
        <v>538</v>
      </c>
      <c r="C224" t="s">
        <v>70</v>
      </c>
      <c r="D224" t="s">
        <v>71</v>
      </c>
      <c r="E224" s="1">
        <v>45683</v>
      </c>
      <c r="F224" s="2">
        <v>0.36265046296296294</v>
      </c>
      <c r="G224" t="s">
        <v>49</v>
      </c>
      <c r="H224" t="s">
        <v>50</v>
      </c>
      <c r="I224">
        <v>6</v>
      </c>
      <c r="J224">
        <v>276.97000000000003</v>
      </c>
      <c r="L224" t="s">
        <v>19</v>
      </c>
      <c r="M224" t="s">
        <v>73</v>
      </c>
      <c r="N224" t="s">
        <v>172</v>
      </c>
    </row>
    <row r="225" spans="1:14" x14ac:dyDescent="0.35">
      <c r="A225" t="s">
        <v>539</v>
      </c>
      <c r="B225" t="s">
        <v>540</v>
      </c>
      <c r="C225" t="s">
        <v>67</v>
      </c>
      <c r="D225" t="s">
        <v>16</v>
      </c>
      <c r="E225" s="1">
        <v>45698</v>
      </c>
      <c r="F225" s="2">
        <v>0.56783564814814813</v>
      </c>
      <c r="G225" t="s">
        <v>120</v>
      </c>
      <c r="H225" t="s">
        <v>18</v>
      </c>
      <c r="I225">
        <v>7</v>
      </c>
      <c r="J225">
        <v>911.45</v>
      </c>
      <c r="L225" t="s">
        <v>42</v>
      </c>
      <c r="M225" t="s">
        <v>36</v>
      </c>
      <c r="N225" t="s">
        <v>103</v>
      </c>
    </row>
    <row r="226" spans="1:14" x14ac:dyDescent="0.35">
      <c r="A226" t="s">
        <v>541</v>
      </c>
      <c r="B226" t="s">
        <v>542</v>
      </c>
      <c r="C226" t="s">
        <v>62</v>
      </c>
      <c r="D226" t="s">
        <v>63</v>
      </c>
      <c r="E226" s="1">
        <v>45084</v>
      </c>
      <c r="F226" s="2">
        <v>0.46471064814814816</v>
      </c>
      <c r="G226" t="s">
        <v>26</v>
      </c>
      <c r="H226" t="s">
        <v>27</v>
      </c>
      <c r="I226">
        <v>12</v>
      </c>
      <c r="J226">
        <v>678.33</v>
      </c>
      <c r="L226" t="s">
        <v>42</v>
      </c>
      <c r="M226" t="s">
        <v>241</v>
      </c>
      <c r="N226" t="s">
        <v>103</v>
      </c>
    </row>
    <row r="227" spans="1:14" x14ac:dyDescent="0.35">
      <c r="A227" t="s">
        <v>543</v>
      </c>
      <c r="B227" t="s">
        <v>544</v>
      </c>
      <c r="C227" t="s">
        <v>407</v>
      </c>
      <c r="D227" t="s">
        <v>48</v>
      </c>
      <c r="E227" s="1">
        <v>45015</v>
      </c>
      <c r="F227" s="2">
        <v>0.73414351851851856</v>
      </c>
      <c r="G227" t="s">
        <v>26</v>
      </c>
      <c r="H227" t="s">
        <v>27</v>
      </c>
      <c r="I227">
        <v>1</v>
      </c>
      <c r="J227">
        <v>524.05999999999995</v>
      </c>
      <c r="L227" t="s">
        <v>35</v>
      </c>
      <c r="M227" t="s">
        <v>85</v>
      </c>
      <c r="N227" t="s">
        <v>21</v>
      </c>
    </row>
    <row r="228" spans="1:14" x14ac:dyDescent="0.35">
      <c r="A228" t="s">
        <v>545</v>
      </c>
      <c r="B228" t="s">
        <v>546</v>
      </c>
      <c r="C228" t="s">
        <v>195</v>
      </c>
      <c r="D228" t="s">
        <v>63</v>
      </c>
      <c r="E228" s="1">
        <v>46169</v>
      </c>
      <c r="F228" s="2">
        <v>0.89594907407407409</v>
      </c>
      <c r="G228" t="s">
        <v>163</v>
      </c>
      <c r="H228" t="s">
        <v>27</v>
      </c>
      <c r="I228">
        <v>10</v>
      </c>
      <c r="J228">
        <v>654.79</v>
      </c>
      <c r="L228" t="s">
        <v>35</v>
      </c>
      <c r="M228" t="s">
        <v>241</v>
      </c>
      <c r="N228" t="s">
        <v>133</v>
      </c>
    </row>
    <row r="229" spans="1:14" x14ac:dyDescent="0.35">
      <c r="A229" t="s">
        <v>547</v>
      </c>
      <c r="B229" t="s">
        <v>548</v>
      </c>
      <c r="C229" t="s">
        <v>169</v>
      </c>
      <c r="D229" t="s">
        <v>170</v>
      </c>
      <c r="E229" s="1">
        <v>45149</v>
      </c>
      <c r="F229" s="2">
        <v>0.48188657407407409</v>
      </c>
      <c r="G229" t="s">
        <v>184</v>
      </c>
      <c r="H229" t="s">
        <v>50</v>
      </c>
      <c r="I229">
        <v>14</v>
      </c>
      <c r="J229">
        <v>186.59</v>
      </c>
      <c r="L229" t="s">
        <v>42</v>
      </c>
      <c r="M229" t="s">
        <v>272</v>
      </c>
      <c r="N229" t="s">
        <v>172</v>
      </c>
    </row>
    <row r="230" spans="1:14" x14ac:dyDescent="0.35">
      <c r="A230" t="s">
        <v>549</v>
      </c>
      <c r="B230" t="s">
        <v>550</v>
      </c>
      <c r="C230" t="s">
        <v>67</v>
      </c>
      <c r="D230" t="s">
        <v>16</v>
      </c>
      <c r="E230" s="1">
        <v>46316</v>
      </c>
      <c r="F230" s="2">
        <v>0.6849884259259259</v>
      </c>
      <c r="G230" t="s">
        <v>17</v>
      </c>
      <c r="H230" t="s">
        <v>18</v>
      </c>
      <c r="I230">
        <v>7</v>
      </c>
      <c r="J230">
        <v>1201.1500000000001</v>
      </c>
      <c r="L230" t="s">
        <v>42</v>
      </c>
      <c r="M230" t="s">
        <v>36</v>
      </c>
      <c r="N230" t="s">
        <v>37</v>
      </c>
    </row>
    <row r="231" spans="1:14" x14ac:dyDescent="0.35">
      <c r="A231" t="s">
        <v>551</v>
      </c>
      <c r="B231" t="s">
        <v>200</v>
      </c>
      <c r="C231" t="s">
        <v>70</v>
      </c>
      <c r="D231" t="s">
        <v>71</v>
      </c>
      <c r="E231" s="1">
        <v>46152</v>
      </c>
      <c r="F231" s="2">
        <v>0.5083333333333333</v>
      </c>
      <c r="G231" t="s">
        <v>17</v>
      </c>
      <c r="H231" t="s">
        <v>18</v>
      </c>
      <c r="I231">
        <v>2</v>
      </c>
      <c r="J231">
        <v>987.51</v>
      </c>
      <c r="L231" t="s">
        <v>35</v>
      </c>
      <c r="M231" t="s">
        <v>73</v>
      </c>
      <c r="N231" t="s">
        <v>109</v>
      </c>
    </row>
    <row r="232" spans="1:14" x14ac:dyDescent="0.35">
      <c r="A232" t="s">
        <v>552</v>
      </c>
      <c r="B232" t="s">
        <v>553</v>
      </c>
      <c r="C232" t="s">
        <v>106</v>
      </c>
      <c r="D232" t="s">
        <v>107</v>
      </c>
      <c r="E232" s="1">
        <v>46180</v>
      </c>
      <c r="F232" s="2">
        <v>0.76791666666666669</v>
      </c>
      <c r="G232" t="s">
        <v>26</v>
      </c>
      <c r="H232" t="s">
        <v>27</v>
      </c>
      <c r="I232">
        <v>13</v>
      </c>
      <c r="J232">
        <v>533.62</v>
      </c>
      <c r="L232" t="s">
        <v>59</v>
      </c>
      <c r="M232" t="s">
        <v>108</v>
      </c>
      <c r="N232" t="s">
        <v>30</v>
      </c>
    </row>
    <row r="233" spans="1:14" x14ac:dyDescent="0.35">
      <c r="A233" t="s">
        <v>554</v>
      </c>
      <c r="B233" t="s">
        <v>555</v>
      </c>
      <c r="C233" t="s">
        <v>15</v>
      </c>
      <c r="D233" t="s">
        <v>16</v>
      </c>
      <c r="E233" s="1">
        <v>45841</v>
      </c>
      <c r="F233" s="2">
        <v>0.38439814814814816</v>
      </c>
      <c r="G233" t="s">
        <v>78</v>
      </c>
      <c r="H233" t="s">
        <v>79</v>
      </c>
      <c r="I233">
        <v>13</v>
      </c>
      <c r="J233">
        <v>172.28</v>
      </c>
      <c r="L233" t="s">
        <v>147</v>
      </c>
      <c r="M233" t="s">
        <v>20</v>
      </c>
      <c r="N233" t="s">
        <v>249</v>
      </c>
    </row>
    <row r="234" spans="1:14" x14ac:dyDescent="0.35">
      <c r="A234" t="s">
        <v>556</v>
      </c>
      <c r="B234" t="s">
        <v>557</v>
      </c>
      <c r="C234" t="s">
        <v>70</v>
      </c>
      <c r="D234" t="s">
        <v>71</v>
      </c>
      <c r="E234" s="1">
        <v>45381</v>
      </c>
      <c r="F234" s="2">
        <v>0.40141203703703704</v>
      </c>
      <c r="G234" t="s">
        <v>78</v>
      </c>
      <c r="H234" t="s">
        <v>79</v>
      </c>
      <c r="I234">
        <v>7</v>
      </c>
      <c r="J234">
        <v>159.08000000000001</v>
      </c>
      <c r="L234" t="s">
        <v>180</v>
      </c>
      <c r="M234" t="s">
        <v>73</v>
      </c>
      <c r="N234" t="s">
        <v>103</v>
      </c>
    </row>
    <row r="235" spans="1:14" x14ac:dyDescent="0.35">
      <c r="A235" t="s">
        <v>558</v>
      </c>
      <c r="B235" t="s">
        <v>559</v>
      </c>
      <c r="C235" t="s">
        <v>136</v>
      </c>
      <c r="D235" t="s">
        <v>25</v>
      </c>
      <c r="E235" s="1">
        <v>45325</v>
      </c>
      <c r="F235" s="2">
        <v>0.86009259259259263</v>
      </c>
      <c r="G235" t="s">
        <v>49</v>
      </c>
      <c r="H235" t="s">
        <v>50</v>
      </c>
      <c r="I235">
        <v>10</v>
      </c>
      <c r="J235">
        <v>179.97</v>
      </c>
      <c r="L235" t="s">
        <v>35</v>
      </c>
      <c r="M235" t="s">
        <v>56</v>
      </c>
    </row>
    <row r="236" spans="1:14" x14ac:dyDescent="0.35">
      <c r="A236" t="s">
        <v>560</v>
      </c>
      <c r="B236" t="s">
        <v>561</v>
      </c>
      <c r="C236" t="s">
        <v>195</v>
      </c>
      <c r="D236" t="s">
        <v>63</v>
      </c>
      <c r="E236" s="1">
        <v>46368</v>
      </c>
      <c r="F236" s="2">
        <v>0.39951388888888889</v>
      </c>
      <c r="G236" t="s">
        <v>49</v>
      </c>
      <c r="H236" t="s">
        <v>50</v>
      </c>
      <c r="I236">
        <v>6</v>
      </c>
      <c r="J236">
        <v>265.70999999999998</v>
      </c>
      <c r="L236" t="s">
        <v>35</v>
      </c>
      <c r="M236" t="s">
        <v>64</v>
      </c>
      <c r="N236" t="s">
        <v>21</v>
      </c>
    </row>
    <row r="237" spans="1:14" x14ac:dyDescent="0.35">
      <c r="A237" t="s">
        <v>562</v>
      </c>
      <c r="B237" t="s">
        <v>563</v>
      </c>
      <c r="C237" t="s">
        <v>136</v>
      </c>
      <c r="D237" t="s">
        <v>25</v>
      </c>
      <c r="E237" s="1">
        <v>45623</v>
      </c>
      <c r="F237" s="2">
        <v>0.85574074074074069</v>
      </c>
      <c r="G237" t="s">
        <v>49</v>
      </c>
      <c r="H237" t="s">
        <v>50</v>
      </c>
      <c r="I237">
        <v>10</v>
      </c>
      <c r="J237">
        <v>224.7</v>
      </c>
      <c r="L237" t="s">
        <v>42</v>
      </c>
      <c r="M237" t="s">
        <v>56</v>
      </c>
      <c r="N237" t="s">
        <v>95</v>
      </c>
    </row>
    <row r="238" spans="1:14" x14ac:dyDescent="0.35">
      <c r="A238" t="s">
        <v>564</v>
      </c>
      <c r="B238" t="s">
        <v>565</v>
      </c>
      <c r="C238" t="s">
        <v>15</v>
      </c>
      <c r="D238" t="s">
        <v>16</v>
      </c>
      <c r="E238" s="1">
        <v>45065</v>
      </c>
      <c r="F238" s="2">
        <v>0.78488425925925931</v>
      </c>
      <c r="G238" t="s">
        <v>163</v>
      </c>
      <c r="H238" t="s">
        <v>27</v>
      </c>
      <c r="I238">
        <v>7</v>
      </c>
      <c r="J238">
        <v>634.95000000000005</v>
      </c>
      <c r="L238" t="s">
        <v>55</v>
      </c>
      <c r="M238" t="s">
        <v>36</v>
      </c>
      <c r="N238" t="s">
        <v>142</v>
      </c>
    </row>
    <row r="239" spans="1:14" x14ac:dyDescent="0.35">
      <c r="A239" t="s">
        <v>566</v>
      </c>
      <c r="B239" t="s">
        <v>567</v>
      </c>
      <c r="C239" t="s">
        <v>77</v>
      </c>
      <c r="D239" t="s">
        <v>63</v>
      </c>
      <c r="E239" s="1">
        <v>45651</v>
      </c>
      <c r="F239" s="2">
        <v>0.72026620370370376</v>
      </c>
      <c r="G239" t="s">
        <v>281</v>
      </c>
      <c r="H239" t="s">
        <v>27</v>
      </c>
      <c r="I239">
        <v>4</v>
      </c>
      <c r="J239">
        <v>552.62</v>
      </c>
      <c r="L239" t="s">
        <v>28</v>
      </c>
      <c r="M239" t="s">
        <v>241</v>
      </c>
      <c r="N239" t="s">
        <v>30</v>
      </c>
    </row>
    <row r="240" spans="1:14" x14ac:dyDescent="0.35">
      <c r="A240" t="s">
        <v>568</v>
      </c>
      <c r="B240" t="s">
        <v>494</v>
      </c>
      <c r="C240" t="s">
        <v>77</v>
      </c>
      <c r="D240" t="s">
        <v>63</v>
      </c>
      <c r="E240" s="1">
        <v>46035</v>
      </c>
      <c r="F240" s="2">
        <v>0.89609953703703704</v>
      </c>
      <c r="G240" t="s">
        <v>49</v>
      </c>
      <c r="H240" t="s">
        <v>50</v>
      </c>
      <c r="I240">
        <v>15</v>
      </c>
      <c r="J240">
        <v>274.67</v>
      </c>
      <c r="L240" t="s">
        <v>28</v>
      </c>
      <c r="M240" t="s">
        <v>80</v>
      </c>
    </row>
    <row r="241" spans="1:14" x14ac:dyDescent="0.35">
      <c r="A241" t="s">
        <v>569</v>
      </c>
      <c r="B241" t="s">
        <v>570</v>
      </c>
      <c r="C241" t="s">
        <v>106</v>
      </c>
      <c r="D241" t="s">
        <v>107</v>
      </c>
      <c r="E241" s="1">
        <v>46034</v>
      </c>
      <c r="F241" s="2">
        <v>0.68223379629629632</v>
      </c>
      <c r="G241" t="s">
        <v>26</v>
      </c>
      <c r="H241" t="s">
        <v>27</v>
      </c>
      <c r="I241">
        <v>2</v>
      </c>
      <c r="J241">
        <v>618.02</v>
      </c>
      <c r="L241" t="s">
        <v>19</v>
      </c>
      <c r="M241" t="s">
        <v>108</v>
      </c>
      <c r="N241" t="s">
        <v>133</v>
      </c>
    </row>
    <row r="242" spans="1:14" x14ac:dyDescent="0.35">
      <c r="A242" t="s">
        <v>571</v>
      </c>
      <c r="B242" t="s">
        <v>572</v>
      </c>
      <c r="C242" t="s">
        <v>24</v>
      </c>
      <c r="D242" t="s">
        <v>25</v>
      </c>
      <c r="E242" s="1">
        <v>45892</v>
      </c>
      <c r="F242" s="2">
        <v>0.54966435185185181</v>
      </c>
      <c r="G242" t="s">
        <v>78</v>
      </c>
      <c r="H242" t="s">
        <v>79</v>
      </c>
      <c r="I242">
        <v>12</v>
      </c>
      <c r="J242">
        <v>147.38</v>
      </c>
      <c r="L242" t="s">
        <v>42</v>
      </c>
      <c r="M242" t="s">
        <v>29</v>
      </c>
      <c r="N242" t="s">
        <v>44</v>
      </c>
    </row>
    <row r="243" spans="1:14" x14ac:dyDescent="0.35">
      <c r="A243" t="s">
        <v>573</v>
      </c>
      <c r="B243" t="s">
        <v>574</v>
      </c>
      <c r="C243" t="s">
        <v>106</v>
      </c>
      <c r="D243" t="s">
        <v>107</v>
      </c>
      <c r="E243" s="1">
        <v>45328</v>
      </c>
      <c r="F243" s="2">
        <v>0.86607638888888894</v>
      </c>
      <c r="G243" t="s">
        <v>78</v>
      </c>
      <c r="H243" t="s">
        <v>79</v>
      </c>
      <c r="I243">
        <v>3</v>
      </c>
      <c r="J243">
        <v>130.09</v>
      </c>
      <c r="L243" t="s">
        <v>59</v>
      </c>
      <c r="M243" t="s">
        <v>108</v>
      </c>
    </row>
    <row r="244" spans="1:14" x14ac:dyDescent="0.35">
      <c r="A244" t="s">
        <v>575</v>
      </c>
      <c r="B244" t="s">
        <v>152</v>
      </c>
      <c r="C244" t="s">
        <v>62</v>
      </c>
      <c r="D244" t="s">
        <v>63</v>
      </c>
      <c r="E244" s="1">
        <v>45368</v>
      </c>
      <c r="F244" s="2">
        <v>0.66226851851851853</v>
      </c>
      <c r="G244" t="s">
        <v>17</v>
      </c>
      <c r="H244" t="s">
        <v>18</v>
      </c>
      <c r="I244">
        <v>6</v>
      </c>
      <c r="J244">
        <v>980.15</v>
      </c>
      <c r="L244" t="s">
        <v>158</v>
      </c>
      <c r="M244" t="s">
        <v>241</v>
      </c>
      <c r="N244" t="s">
        <v>37</v>
      </c>
    </row>
    <row r="245" spans="1:14" x14ac:dyDescent="0.35">
      <c r="A245" t="s">
        <v>576</v>
      </c>
      <c r="B245" t="s">
        <v>76</v>
      </c>
      <c r="C245" t="s">
        <v>179</v>
      </c>
      <c r="D245" t="s">
        <v>41</v>
      </c>
      <c r="E245" s="1">
        <v>45509</v>
      </c>
      <c r="F245" s="2">
        <v>0.5718981481481481</v>
      </c>
      <c r="G245" t="s">
        <v>78</v>
      </c>
      <c r="H245" t="s">
        <v>79</v>
      </c>
      <c r="I245">
        <v>8</v>
      </c>
      <c r="J245">
        <v>148.58000000000001</v>
      </c>
      <c r="L245" t="s">
        <v>28</v>
      </c>
      <c r="M245" t="s">
        <v>90</v>
      </c>
      <c r="N245" t="s">
        <v>133</v>
      </c>
    </row>
    <row r="246" spans="1:14" x14ac:dyDescent="0.35">
      <c r="A246" t="s">
        <v>577</v>
      </c>
      <c r="B246" t="s">
        <v>578</v>
      </c>
      <c r="C246" t="s">
        <v>70</v>
      </c>
      <c r="D246" t="s">
        <v>71</v>
      </c>
      <c r="E246" s="1">
        <v>45630</v>
      </c>
      <c r="F246" s="2">
        <v>0.55603009259259262</v>
      </c>
      <c r="G246" t="s">
        <v>33</v>
      </c>
      <c r="H246" t="s">
        <v>34</v>
      </c>
      <c r="I246">
        <v>10</v>
      </c>
      <c r="J246">
        <v>374.25</v>
      </c>
      <c r="L246" t="s">
        <v>42</v>
      </c>
      <c r="M246" t="s">
        <v>190</v>
      </c>
      <c r="N246" t="s">
        <v>172</v>
      </c>
    </row>
    <row r="247" spans="1:14" x14ac:dyDescent="0.35">
      <c r="A247" t="s">
        <v>579</v>
      </c>
      <c r="B247" t="s">
        <v>580</v>
      </c>
      <c r="C247" t="s">
        <v>139</v>
      </c>
      <c r="D247" t="s">
        <v>25</v>
      </c>
      <c r="E247" s="1">
        <v>45407</v>
      </c>
      <c r="F247" s="2">
        <v>0.82276620370370368</v>
      </c>
      <c r="G247" t="s">
        <v>17</v>
      </c>
      <c r="H247" t="s">
        <v>18</v>
      </c>
      <c r="I247">
        <v>7</v>
      </c>
      <c r="L247" t="s">
        <v>55</v>
      </c>
      <c r="M247" t="s">
        <v>29</v>
      </c>
      <c r="N247" t="s">
        <v>142</v>
      </c>
    </row>
    <row r="248" spans="1:14" x14ac:dyDescent="0.35">
      <c r="A248" t="s">
        <v>581</v>
      </c>
      <c r="B248" t="s">
        <v>582</v>
      </c>
      <c r="C248" t="s">
        <v>139</v>
      </c>
      <c r="D248" t="s">
        <v>25</v>
      </c>
      <c r="E248" s="1">
        <v>46268</v>
      </c>
      <c r="F248" s="2">
        <v>0.50989583333333333</v>
      </c>
      <c r="G248" t="s">
        <v>33</v>
      </c>
      <c r="H248" t="s">
        <v>34</v>
      </c>
      <c r="I248">
        <v>3</v>
      </c>
      <c r="J248">
        <v>487.7</v>
      </c>
      <c r="L248" t="s">
        <v>19</v>
      </c>
      <c r="M248" t="s">
        <v>56</v>
      </c>
      <c r="N248" t="s">
        <v>103</v>
      </c>
    </row>
    <row r="249" spans="1:14" x14ac:dyDescent="0.35">
      <c r="A249" t="s">
        <v>583</v>
      </c>
      <c r="B249" t="s">
        <v>584</v>
      </c>
      <c r="C249" t="s">
        <v>150</v>
      </c>
      <c r="D249" t="s">
        <v>25</v>
      </c>
      <c r="E249" s="1">
        <v>46355</v>
      </c>
      <c r="F249" s="2">
        <v>0.7350578703703704</v>
      </c>
      <c r="G249" t="s">
        <v>49</v>
      </c>
      <c r="H249" t="s">
        <v>50</v>
      </c>
      <c r="I249">
        <v>11</v>
      </c>
      <c r="J249">
        <v>210.06</v>
      </c>
      <c r="L249" t="s">
        <v>28</v>
      </c>
      <c r="M249" t="s">
        <v>155</v>
      </c>
    </row>
    <row r="250" spans="1:14" x14ac:dyDescent="0.35">
      <c r="A250" t="s">
        <v>585</v>
      </c>
      <c r="B250" t="s">
        <v>127</v>
      </c>
      <c r="C250" t="s">
        <v>136</v>
      </c>
      <c r="D250" t="s">
        <v>25</v>
      </c>
      <c r="E250" s="1">
        <v>45631</v>
      </c>
      <c r="F250" s="2">
        <v>0.64861111111111114</v>
      </c>
      <c r="G250" t="s">
        <v>78</v>
      </c>
      <c r="H250" t="s">
        <v>79</v>
      </c>
      <c r="I250">
        <v>8</v>
      </c>
      <c r="J250">
        <v>177.44</v>
      </c>
      <c r="L250" t="s">
        <v>28</v>
      </c>
      <c r="M250" t="s">
        <v>29</v>
      </c>
      <c r="N250" t="s">
        <v>74</v>
      </c>
    </row>
    <row r="251" spans="1:14" x14ac:dyDescent="0.35">
      <c r="A251" t="s">
        <v>586</v>
      </c>
      <c r="B251" t="s">
        <v>587</v>
      </c>
      <c r="C251" t="s">
        <v>169</v>
      </c>
      <c r="D251" t="s">
        <v>170</v>
      </c>
      <c r="E251" s="1">
        <v>45378</v>
      </c>
      <c r="F251" s="2">
        <v>0.39421296296296299</v>
      </c>
      <c r="G251" t="s">
        <v>281</v>
      </c>
      <c r="H251" t="s">
        <v>27</v>
      </c>
      <c r="I251">
        <v>13</v>
      </c>
      <c r="J251">
        <v>722.27</v>
      </c>
      <c r="L251" t="s">
        <v>28</v>
      </c>
      <c r="M251" t="s">
        <v>171</v>
      </c>
      <c r="N251" t="s">
        <v>231</v>
      </c>
    </row>
    <row r="252" spans="1:14" x14ac:dyDescent="0.35">
      <c r="A252" t="s">
        <v>588</v>
      </c>
      <c r="B252" t="s">
        <v>589</v>
      </c>
      <c r="C252" t="s">
        <v>150</v>
      </c>
      <c r="D252" t="s">
        <v>25</v>
      </c>
      <c r="E252" s="1">
        <v>45484</v>
      </c>
      <c r="F252" s="2">
        <v>0.4722337962962963</v>
      </c>
      <c r="G252" t="s">
        <v>26</v>
      </c>
      <c r="H252" t="s">
        <v>27</v>
      </c>
      <c r="J252">
        <v>535.78</v>
      </c>
      <c r="L252" t="s">
        <v>55</v>
      </c>
      <c r="M252" t="s">
        <v>29</v>
      </c>
      <c r="N252" t="s">
        <v>21</v>
      </c>
    </row>
    <row r="253" spans="1:14" x14ac:dyDescent="0.35">
      <c r="A253" t="s">
        <v>590</v>
      </c>
      <c r="B253" t="s">
        <v>591</v>
      </c>
      <c r="C253" t="s">
        <v>106</v>
      </c>
      <c r="D253" t="s">
        <v>107</v>
      </c>
      <c r="E253" s="1">
        <v>45947</v>
      </c>
      <c r="F253" s="2">
        <v>0.65613425925925928</v>
      </c>
      <c r="G253" t="s">
        <v>17</v>
      </c>
      <c r="H253" t="s">
        <v>18</v>
      </c>
      <c r="I253">
        <v>14</v>
      </c>
      <c r="J253">
        <v>873.04</v>
      </c>
      <c r="L253" t="s">
        <v>28</v>
      </c>
      <c r="M253" t="s">
        <v>108</v>
      </c>
      <c r="N253" t="s">
        <v>74</v>
      </c>
    </row>
    <row r="254" spans="1:14" x14ac:dyDescent="0.35">
      <c r="A254" t="s">
        <v>592</v>
      </c>
      <c r="B254" t="s">
        <v>593</v>
      </c>
      <c r="C254" t="s">
        <v>15</v>
      </c>
      <c r="D254" t="s">
        <v>16</v>
      </c>
      <c r="E254" s="1">
        <v>45715</v>
      </c>
      <c r="F254" s="2">
        <v>0.49099537037037039</v>
      </c>
      <c r="G254" t="s">
        <v>26</v>
      </c>
      <c r="H254" t="s">
        <v>27</v>
      </c>
      <c r="I254">
        <v>13</v>
      </c>
      <c r="L254" t="s">
        <v>35</v>
      </c>
      <c r="M254" t="s">
        <v>20</v>
      </c>
      <c r="N254" t="s">
        <v>133</v>
      </c>
    </row>
    <row r="255" spans="1:14" x14ac:dyDescent="0.35">
      <c r="A255" t="s">
        <v>594</v>
      </c>
      <c r="B255" t="s">
        <v>323</v>
      </c>
      <c r="C255" t="s">
        <v>136</v>
      </c>
      <c r="D255" t="s">
        <v>25</v>
      </c>
      <c r="E255" s="1">
        <v>45445</v>
      </c>
      <c r="F255" s="2">
        <v>0.76333333333333331</v>
      </c>
      <c r="G255" t="s">
        <v>33</v>
      </c>
      <c r="H255" t="s">
        <v>34</v>
      </c>
      <c r="I255">
        <v>14</v>
      </c>
      <c r="J255">
        <v>514.65</v>
      </c>
      <c r="L255" t="s">
        <v>35</v>
      </c>
      <c r="M255" t="s">
        <v>29</v>
      </c>
    </row>
    <row r="256" spans="1:14" x14ac:dyDescent="0.35">
      <c r="A256" t="s">
        <v>595</v>
      </c>
      <c r="B256" t="s">
        <v>596</v>
      </c>
      <c r="C256" t="s">
        <v>179</v>
      </c>
      <c r="D256" t="s">
        <v>41</v>
      </c>
      <c r="E256" s="1">
        <v>46336</v>
      </c>
      <c r="F256" s="2">
        <v>0.57575231481481481</v>
      </c>
      <c r="G256" t="s">
        <v>26</v>
      </c>
      <c r="H256" t="s">
        <v>27</v>
      </c>
      <c r="I256">
        <v>2</v>
      </c>
      <c r="J256">
        <v>581.53</v>
      </c>
      <c r="L256" t="s">
        <v>19</v>
      </c>
      <c r="M256" t="s">
        <v>43</v>
      </c>
    </row>
    <row r="257" spans="1:14" x14ac:dyDescent="0.35">
      <c r="A257" t="s">
        <v>597</v>
      </c>
      <c r="B257" t="s">
        <v>598</v>
      </c>
      <c r="C257" t="s">
        <v>40</v>
      </c>
      <c r="D257" t="s">
        <v>41</v>
      </c>
      <c r="E257" s="1">
        <v>45322</v>
      </c>
      <c r="F257" s="2">
        <v>0.80858796296296298</v>
      </c>
      <c r="G257" t="s">
        <v>26</v>
      </c>
      <c r="H257" t="s">
        <v>27</v>
      </c>
      <c r="I257">
        <v>1</v>
      </c>
      <c r="J257">
        <v>611.25</v>
      </c>
      <c r="L257" t="s">
        <v>28</v>
      </c>
      <c r="M257" t="s">
        <v>43</v>
      </c>
      <c r="N257" t="s">
        <v>30</v>
      </c>
    </row>
    <row r="258" spans="1:14" x14ac:dyDescent="0.35">
      <c r="A258" t="s">
        <v>599</v>
      </c>
      <c r="B258" t="s">
        <v>600</v>
      </c>
      <c r="C258" t="s">
        <v>67</v>
      </c>
      <c r="D258" t="s">
        <v>16</v>
      </c>
      <c r="E258" s="1">
        <v>45068</v>
      </c>
      <c r="F258" s="2">
        <v>0.63810185185185186</v>
      </c>
      <c r="G258" t="s">
        <v>33</v>
      </c>
      <c r="H258" t="s">
        <v>34</v>
      </c>
      <c r="I258">
        <v>8</v>
      </c>
      <c r="L258" t="s">
        <v>158</v>
      </c>
      <c r="M258" t="s">
        <v>36</v>
      </c>
      <c r="N258" t="s">
        <v>30</v>
      </c>
    </row>
    <row r="259" spans="1:14" x14ac:dyDescent="0.35">
      <c r="A259" t="s">
        <v>601</v>
      </c>
      <c r="B259" t="s">
        <v>602</v>
      </c>
      <c r="C259" t="s">
        <v>67</v>
      </c>
      <c r="D259" t="s">
        <v>16</v>
      </c>
      <c r="E259" s="1">
        <v>45315</v>
      </c>
      <c r="F259" s="2">
        <v>0.85774305555555552</v>
      </c>
      <c r="G259" t="s">
        <v>49</v>
      </c>
      <c r="H259" t="s">
        <v>50</v>
      </c>
      <c r="I259">
        <v>7</v>
      </c>
      <c r="J259">
        <v>188.15</v>
      </c>
      <c r="L259" t="s">
        <v>117</v>
      </c>
      <c r="M259" t="s">
        <v>20</v>
      </c>
      <c r="N259" t="s">
        <v>125</v>
      </c>
    </row>
    <row r="260" spans="1:14" x14ac:dyDescent="0.35">
      <c r="A260" t="s">
        <v>603</v>
      </c>
      <c r="B260" t="s">
        <v>604</v>
      </c>
      <c r="C260" t="s">
        <v>47</v>
      </c>
      <c r="D260" t="s">
        <v>48</v>
      </c>
      <c r="E260" s="1">
        <v>46241</v>
      </c>
      <c r="F260" s="2">
        <v>0.77190972222222221</v>
      </c>
      <c r="G260" t="s">
        <v>49</v>
      </c>
      <c r="H260" t="s">
        <v>50</v>
      </c>
      <c r="I260">
        <v>5</v>
      </c>
      <c r="L260" t="s">
        <v>35</v>
      </c>
      <c r="M260" t="s">
        <v>94</v>
      </c>
      <c r="N260" t="s">
        <v>74</v>
      </c>
    </row>
    <row r="261" spans="1:14" x14ac:dyDescent="0.35">
      <c r="A261" t="s">
        <v>605</v>
      </c>
      <c r="B261" t="s">
        <v>606</v>
      </c>
      <c r="C261" t="s">
        <v>47</v>
      </c>
      <c r="D261" t="s">
        <v>48</v>
      </c>
      <c r="E261" s="1">
        <v>46069</v>
      </c>
      <c r="F261" s="2">
        <v>0.89155092592592589</v>
      </c>
      <c r="G261" t="s">
        <v>17</v>
      </c>
      <c r="H261" t="s">
        <v>18</v>
      </c>
      <c r="I261">
        <v>5</v>
      </c>
      <c r="J261">
        <v>1167.1500000000001</v>
      </c>
      <c r="L261" t="s">
        <v>72</v>
      </c>
      <c r="M261" t="s">
        <v>51</v>
      </c>
      <c r="N261" t="s">
        <v>37</v>
      </c>
    </row>
    <row r="262" spans="1:14" x14ac:dyDescent="0.35">
      <c r="A262" t="s">
        <v>607</v>
      </c>
      <c r="B262" t="s">
        <v>570</v>
      </c>
      <c r="C262" t="s">
        <v>24</v>
      </c>
      <c r="D262" t="s">
        <v>25</v>
      </c>
      <c r="E262" s="1">
        <v>46070</v>
      </c>
      <c r="F262" s="2">
        <v>0.79640046296296296</v>
      </c>
      <c r="G262" t="s">
        <v>49</v>
      </c>
      <c r="H262" t="s">
        <v>50</v>
      </c>
      <c r="I262">
        <v>8</v>
      </c>
      <c r="J262">
        <v>222.98</v>
      </c>
      <c r="L262" t="s">
        <v>55</v>
      </c>
      <c r="M262" t="s">
        <v>56</v>
      </c>
      <c r="N262" t="s">
        <v>133</v>
      </c>
    </row>
    <row r="263" spans="1:14" x14ac:dyDescent="0.35">
      <c r="A263" t="s">
        <v>608</v>
      </c>
      <c r="B263" t="s">
        <v>609</v>
      </c>
      <c r="C263" t="s">
        <v>88</v>
      </c>
      <c r="D263" t="s">
        <v>41</v>
      </c>
      <c r="E263" s="1">
        <v>45591</v>
      </c>
      <c r="F263" s="2">
        <v>0.61712962962962958</v>
      </c>
      <c r="G263" t="s">
        <v>78</v>
      </c>
      <c r="H263" t="s">
        <v>79</v>
      </c>
      <c r="I263">
        <v>6</v>
      </c>
      <c r="J263">
        <v>162.24</v>
      </c>
      <c r="L263" t="s">
        <v>35</v>
      </c>
      <c r="M263" t="s">
        <v>43</v>
      </c>
      <c r="N263" t="s">
        <v>30</v>
      </c>
    </row>
    <row r="264" spans="1:14" x14ac:dyDescent="0.35">
      <c r="A264" t="s">
        <v>610</v>
      </c>
      <c r="B264" t="s">
        <v>611</v>
      </c>
      <c r="C264" t="s">
        <v>47</v>
      </c>
      <c r="D264" t="s">
        <v>48</v>
      </c>
      <c r="E264" s="1">
        <v>46147</v>
      </c>
      <c r="F264" s="2">
        <v>0.67287037037037034</v>
      </c>
      <c r="G264" t="s">
        <v>33</v>
      </c>
      <c r="H264" t="s">
        <v>34</v>
      </c>
      <c r="J264">
        <v>362.96</v>
      </c>
      <c r="L264" t="s">
        <v>72</v>
      </c>
      <c r="M264" t="s">
        <v>51</v>
      </c>
    </row>
    <row r="265" spans="1:14" x14ac:dyDescent="0.35">
      <c r="A265" t="s">
        <v>612</v>
      </c>
      <c r="B265" t="s">
        <v>613</v>
      </c>
      <c r="C265" t="s">
        <v>139</v>
      </c>
      <c r="D265" t="s">
        <v>25</v>
      </c>
      <c r="E265" s="1">
        <v>45004</v>
      </c>
      <c r="F265" s="2">
        <v>0.54800925925925925</v>
      </c>
      <c r="G265" t="s">
        <v>33</v>
      </c>
      <c r="H265" t="s">
        <v>34</v>
      </c>
      <c r="I265">
        <v>10</v>
      </c>
      <c r="J265">
        <v>371.25</v>
      </c>
      <c r="L265" t="s">
        <v>28</v>
      </c>
      <c r="M265" t="s">
        <v>56</v>
      </c>
      <c r="N265" t="s">
        <v>249</v>
      </c>
    </row>
    <row r="266" spans="1:14" x14ac:dyDescent="0.35">
      <c r="A266" t="s">
        <v>614</v>
      </c>
      <c r="B266" t="s">
        <v>615</v>
      </c>
      <c r="C266" t="s">
        <v>179</v>
      </c>
      <c r="D266" t="s">
        <v>41</v>
      </c>
      <c r="E266" s="1">
        <v>46146</v>
      </c>
      <c r="F266" s="2">
        <v>0.36586805555555557</v>
      </c>
      <c r="G266" t="s">
        <v>49</v>
      </c>
      <c r="H266" t="s">
        <v>50</v>
      </c>
      <c r="I266">
        <v>13</v>
      </c>
      <c r="L266" t="s">
        <v>28</v>
      </c>
      <c r="M266" t="s">
        <v>90</v>
      </c>
      <c r="N266" t="s">
        <v>37</v>
      </c>
    </row>
    <row r="267" spans="1:14" x14ac:dyDescent="0.35">
      <c r="A267" t="s">
        <v>616</v>
      </c>
      <c r="B267" t="s">
        <v>617</v>
      </c>
      <c r="C267" t="s">
        <v>407</v>
      </c>
      <c r="D267" t="s">
        <v>48</v>
      </c>
      <c r="E267" s="1">
        <v>46221</v>
      </c>
      <c r="F267" s="2">
        <v>0.34690972222222222</v>
      </c>
      <c r="G267" t="s">
        <v>17</v>
      </c>
      <c r="H267" t="s">
        <v>18</v>
      </c>
      <c r="I267">
        <v>10</v>
      </c>
      <c r="J267">
        <v>1051.2</v>
      </c>
      <c r="L267" t="s">
        <v>35</v>
      </c>
      <c r="M267" t="s">
        <v>94</v>
      </c>
      <c r="N267" t="s">
        <v>95</v>
      </c>
    </row>
    <row r="268" spans="1:14" x14ac:dyDescent="0.35">
      <c r="A268" t="s">
        <v>618</v>
      </c>
      <c r="B268" t="s">
        <v>619</v>
      </c>
      <c r="C268" t="s">
        <v>128</v>
      </c>
      <c r="D268" t="s">
        <v>63</v>
      </c>
      <c r="E268" s="1">
        <v>45230</v>
      </c>
      <c r="F268" s="2">
        <v>0.54548611111111112</v>
      </c>
      <c r="G268" t="s">
        <v>49</v>
      </c>
      <c r="H268" t="s">
        <v>50</v>
      </c>
      <c r="I268">
        <v>9</v>
      </c>
      <c r="J268">
        <v>185.36</v>
      </c>
      <c r="L268" t="s">
        <v>59</v>
      </c>
      <c r="M268" t="s">
        <v>64</v>
      </c>
      <c r="N268" t="s">
        <v>103</v>
      </c>
    </row>
    <row r="269" spans="1:14" x14ac:dyDescent="0.35">
      <c r="A269" t="s">
        <v>620</v>
      </c>
      <c r="B269" t="s">
        <v>621</v>
      </c>
      <c r="C269" t="s">
        <v>67</v>
      </c>
      <c r="D269" t="s">
        <v>16</v>
      </c>
      <c r="E269" s="1">
        <v>45423</v>
      </c>
      <c r="F269" s="2">
        <v>0.53434027777777782</v>
      </c>
      <c r="G269" t="s">
        <v>33</v>
      </c>
      <c r="H269" t="s">
        <v>34</v>
      </c>
      <c r="I269">
        <v>10</v>
      </c>
      <c r="L269" t="s">
        <v>42</v>
      </c>
      <c r="M269" t="s">
        <v>36</v>
      </c>
      <c r="N269" t="s">
        <v>21</v>
      </c>
    </row>
    <row r="270" spans="1:14" x14ac:dyDescent="0.35">
      <c r="A270" t="s">
        <v>622</v>
      </c>
      <c r="B270" t="s">
        <v>623</v>
      </c>
      <c r="C270" t="s">
        <v>150</v>
      </c>
      <c r="D270" t="s">
        <v>25</v>
      </c>
      <c r="E270" s="1">
        <v>45829</v>
      </c>
      <c r="F270" s="2">
        <v>0.8848611111111111</v>
      </c>
      <c r="G270" t="s">
        <v>33</v>
      </c>
      <c r="H270" t="s">
        <v>34</v>
      </c>
      <c r="I270">
        <v>12</v>
      </c>
      <c r="J270">
        <v>342.47</v>
      </c>
      <c r="L270" t="s">
        <v>55</v>
      </c>
      <c r="M270" t="s">
        <v>155</v>
      </c>
    </row>
    <row r="271" spans="1:14" x14ac:dyDescent="0.35">
      <c r="A271" t="s">
        <v>624</v>
      </c>
      <c r="B271" t="s">
        <v>625</v>
      </c>
      <c r="C271" t="s">
        <v>77</v>
      </c>
      <c r="D271" t="s">
        <v>63</v>
      </c>
      <c r="E271" s="1">
        <v>45606</v>
      </c>
      <c r="F271" s="2">
        <v>0.81542824074074072</v>
      </c>
      <c r="G271" t="s">
        <v>26</v>
      </c>
      <c r="H271" t="s">
        <v>27</v>
      </c>
      <c r="I271">
        <v>13</v>
      </c>
      <c r="J271">
        <v>624.91</v>
      </c>
      <c r="L271" t="s">
        <v>35</v>
      </c>
      <c r="M271" t="s">
        <v>80</v>
      </c>
    </row>
    <row r="272" spans="1:14" x14ac:dyDescent="0.35">
      <c r="A272" t="s">
        <v>626</v>
      </c>
      <c r="B272" t="s">
        <v>627</v>
      </c>
      <c r="C272" t="s">
        <v>98</v>
      </c>
      <c r="D272" t="s">
        <v>99</v>
      </c>
      <c r="E272" s="1">
        <v>45035</v>
      </c>
      <c r="F272" s="2">
        <v>0.75004629629629627</v>
      </c>
      <c r="G272" t="s">
        <v>78</v>
      </c>
      <c r="H272" t="s">
        <v>79</v>
      </c>
      <c r="I272">
        <v>11</v>
      </c>
      <c r="J272">
        <v>169.51</v>
      </c>
      <c r="L272" t="s">
        <v>19</v>
      </c>
      <c r="M272" t="s">
        <v>122</v>
      </c>
      <c r="N272" t="s">
        <v>44</v>
      </c>
    </row>
    <row r="273" spans="1:14" x14ac:dyDescent="0.35">
      <c r="A273" t="s">
        <v>628</v>
      </c>
      <c r="B273" t="s">
        <v>629</v>
      </c>
      <c r="C273" t="s">
        <v>77</v>
      </c>
      <c r="D273" t="s">
        <v>63</v>
      </c>
      <c r="E273" s="1">
        <v>45308</v>
      </c>
      <c r="F273" s="2">
        <v>0.68721064814814814</v>
      </c>
      <c r="G273" t="s">
        <v>17</v>
      </c>
      <c r="H273" t="s">
        <v>18</v>
      </c>
      <c r="J273">
        <v>952.46</v>
      </c>
      <c r="L273" t="s">
        <v>42</v>
      </c>
      <c r="M273" t="s">
        <v>80</v>
      </c>
      <c r="N273" t="s">
        <v>30</v>
      </c>
    </row>
    <row r="274" spans="1:14" x14ac:dyDescent="0.35">
      <c r="A274" t="s">
        <v>630</v>
      </c>
      <c r="B274" t="s">
        <v>631</v>
      </c>
      <c r="C274" t="s">
        <v>205</v>
      </c>
      <c r="D274" t="s">
        <v>170</v>
      </c>
      <c r="E274" s="1">
        <v>46208</v>
      </c>
      <c r="F274" s="2">
        <v>0.62282407407407403</v>
      </c>
      <c r="G274" t="s">
        <v>17</v>
      </c>
      <c r="H274" t="s">
        <v>18</v>
      </c>
      <c r="I274">
        <v>5</v>
      </c>
      <c r="J274">
        <v>970.89</v>
      </c>
      <c r="L274" t="s">
        <v>42</v>
      </c>
      <c r="M274" t="s">
        <v>272</v>
      </c>
      <c r="N274" t="s">
        <v>44</v>
      </c>
    </row>
    <row r="275" spans="1:14" x14ac:dyDescent="0.35">
      <c r="A275" t="s">
        <v>632</v>
      </c>
      <c r="B275" t="s">
        <v>633</v>
      </c>
      <c r="C275" t="s">
        <v>98</v>
      </c>
      <c r="D275" t="s">
        <v>99</v>
      </c>
      <c r="E275" s="1">
        <v>45846</v>
      </c>
      <c r="F275" s="2">
        <v>0.48689814814814814</v>
      </c>
      <c r="G275" t="s">
        <v>49</v>
      </c>
      <c r="H275" t="s">
        <v>50</v>
      </c>
      <c r="I275">
        <v>13</v>
      </c>
      <c r="J275">
        <v>191.19</v>
      </c>
      <c r="L275" t="s">
        <v>59</v>
      </c>
      <c r="M275" t="s">
        <v>122</v>
      </c>
      <c r="N275" t="s">
        <v>109</v>
      </c>
    </row>
    <row r="276" spans="1:14" x14ac:dyDescent="0.35">
      <c r="A276" t="s">
        <v>634</v>
      </c>
      <c r="B276" t="s">
        <v>248</v>
      </c>
      <c r="C276" t="s">
        <v>67</v>
      </c>
      <c r="D276" t="s">
        <v>16</v>
      </c>
      <c r="E276" s="1">
        <v>45304</v>
      </c>
      <c r="F276" s="2">
        <v>0.91399305555555554</v>
      </c>
      <c r="G276" t="s">
        <v>17</v>
      </c>
      <c r="H276" t="s">
        <v>18</v>
      </c>
      <c r="I276">
        <v>15</v>
      </c>
      <c r="J276">
        <v>1280.5999999999999</v>
      </c>
      <c r="L276" t="s">
        <v>28</v>
      </c>
      <c r="M276" t="s">
        <v>36</v>
      </c>
    </row>
    <row r="277" spans="1:14" x14ac:dyDescent="0.35">
      <c r="A277" t="s">
        <v>635</v>
      </c>
      <c r="B277" t="s">
        <v>636</v>
      </c>
      <c r="C277" t="s">
        <v>98</v>
      </c>
      <c r="D277" t="s">
        <v>99</v>
      </c>
      <c r="E277" s="1">
        <v>45473</v>
      </c>
      <c r="F277" s="2">
        <v>0.71821759259259255</v>
      </c>
      <c r="G277" t="s">
        <v>17</v>
      </c>
      <c r="H277" t="s">
        <v>18</v>
      </c>
      <c r="I277">
        <v>12</v>
      </c>
      <c r="J277">
        <v>867.04</v>
      </c>
      <c r="L277" t="s">
        <v>59</v>
      </c>
      <c r="M277" t="s">
        <v>100</v>
      </c>
      <c r="N277" t="s">
        <v>142</v>
      </c>
    </row>
    <row r="278" spans="1:14" x14ac:dyDescent="0.35">
      <c r="A278" t="s">
        <v>637</v>
      </c>
      <c r="B278" t="s">
        <v>638</v>
      </c>
      <c r="C278" t="s">
        <v>106</v>
      </c>
      <c r="D278" t="s">
        <v>107</v>
      </c>
      <c r="E278" s="1">
        <v>45479</v>
      </c>
      <c r="F278" s="2">
        <v>0.49145833333333333</v>
      </c>
      <c r="G278" t="s">
        <v>26</v>
      </c>
      <c r="H278" t="s">
        <v>27</v>
      </c>
      <c r="I278">
        <v>2</v>
      </c>
      <c r="J278">
        <v>766.41</v>
      </c>
      <c r="L278" t="s">
        <v>42</v>
      </c>
      <c r="M278" t="s">
        <v>112</v>
      </c>
      <c r="N278" t="s">
        <v>95</v>
      </c>
    </row>
    <row r="279" spans="1:14" x14ac:dyDescent="0.35">
      <c r="A279" t="s">
        <v>639</v>
      </c>
      <c r="B279" t="s">
        <v>640</v>
      </c>
      <c r="C279" t="s">
        <v>169</v>
      </c>
      <c r="D279" t="s">
        <v>170</v>
      </c>
      <c r="E279" s="1">
        <v>45734</v>
      </c>
      <c r="F279" s="2">
        <v>0.67115740740740737</v>
      </c>
      <c r="G279" t="s">
        <v>78</v>
      </c>
      <c r="H279" t="s">
        <v>79</v>
      </c>
      <c r="I279">
        <v>1</v>
      </c>
      <c r="J279">
        <v>138.43</v>
      </c>
      <c r="L279" t="s">
        <v>59</v>
      </c>
      <c r="M279" t="s">
        <v>171</v>
      </c>
      <c r="N279" t="s">
        <v>172</v>
      </c>
    </row>
    <row r="280" spans="1:14" x14ac:dyDescent="0.35">
      <c r="A280" t="s">
        <v>641</v>
      </c>
      <c r="B280" t="s">
        <v>542</v>
      </c>
      <c r="C280" t="s">
        <v>169</v>
      </c>
      <c r="D280" t="s">
        <v>170</v>
      </c>
      <c r="E280" s="1">
        <v>45512</v>
      </c>
      <c r="F280" s="2">
        <v>0.43562499999999998</v>
      </c>
      <c r="G280" t="s">
        <v>93</v>
      </c>
      <c r="H280" t="s">
        <v>50</v>
      </c>
      <c r="I280">
        <v>12</v>
      </c>
      <c r="J280">
        <v>191.65</v>
      </c>
      <c r="L280" t="s">
        <v>42</v>
      </c>
      <c r="M280" t="s">
        <v>171</v>
      </c>
      <c r="N280" t="s">
        <v>109</v>
      </c>
    </row>
    <row r="281" spans="1:14" x14ac:dyDescent="0.35">
      <c r="A281" t="s">
        <v>642</v>
      </c>
      <c r="B281" t="s">
        <v>643</v>
      </c>
      <c r="C281" t="s">
        <v>179</v>
      </c>
      <c r="D281" t="s">
        <v>41</v>
      </c>
      <c r="E281" s="1">
        <v>45858</v>
      </c>
      <c r="F281" s="2">
        <v>0.5143981481481481</v>
      </c>
      <c r="G281" t="s">
        <v>26</v>
      </c>
      <c r="H281" t="s">
        <v>27</v>
      </c>
      <c r="I281">
        <v>2</v>
      </c>
      <c r="L281" t="s">
        <v>42</v>
      </c>
      <c r="M281" t="s">
        <v>90</v>
      </c>
      <c r="N281" t="s">
        <v>172</v>
      </c>
    </row>
    <row r="282" spans="1:14" x14ac:dyDescent="0.35">
      <c r="A282" t="s">
        <v>644</v>
      </c>
      <c r="B282" t="s">
        <v>645</v>
      </c>
      <c r="C282" t="s">
        <v>62</v>
      </c>
      <c r="D282" t="s">
        <v>63</v>
      </c>
      <c r="E282" s="1">
        <v>46085</v>
      </c>
      <c r="F282" s="2">
        <v>0.45496527777777779</v>
      </c>
      <c r="G282" t="s">
        <v>163</v>
      </c>
      <c r="H282" t="s">
        <v>27</v>
      </c>
      <c r="I282">
        <v>1</v>
      </c>
      <c r="J282">
        <v>572.86</v>
      </c>
      <c r="L282" t="s">
        <v>42</v>
      </c>
      <c r="M282" t="s">
        <v>80</v>
      </c>
    </row>
    <row r="283" spans="1:14" x14ac:dyDescent="0.35">
      <c r="A283" t="s">
        <v>646</v>
      </c>
      <c r="B283" t="s">
        <v>647</v>
      </c>
      <c r="C283" t="s">
        <v>77</v>
      </c>
      <c r="D283" t="s">
        <v>63</v>
      </c>
      <c r="E283" s="1">
        <v>46172</v>
      </c>
      <c r="F283" s="2">
        <v>0.46778935185185183</v>
      </c>
      <c r="G283" t="s">
        <v>78</v>
      </c>
      <c r="H283" t="s">
        <v>79</v>
      </c>
      <c r="I283">
        <v>8</v>
      </c>
      <c r="L283" t="s">
        <v>180</v>
      </c>
      <c r="M283" t="s">
        <v>80</v>
      </c>
    </row>
    <row r="284" spans="1:14" x14ac:dyDescent="0.35">
      <c r="A284" t="s">
        <v>648</v>
      </c>
      <c r="B284" t="s">
        <v>368</v>
      </c>
      <c r="C284" t="s">
        <v>139</v>
      </c>
      <c r="D284" t="s">
        <v>25</v>
      </c>
      <c r="E284" s="1">
        <v>46293</v>
      </c>
      <c r="F284" s="2">
        <v>0.58200231481481479</v>
      </c>
      <c r="G284" t="s">
        <v>120</v>
      </c>
      <c r="H284" t="s">
        <v>18</v>
      </c>
      <c r="I284">
        <v>3</v>
      </c>
      <c r="J284">
        <v>942.19</v>
      </c>
      <c r="L284" t="s">
        <v>59</v>
      </c>
      <c r="M284" t="s">
        <v>56</v>
      </c>
      <c r="N284" t="s">
        <v>30</v>
      </c>
    </row>
    <row r="285" spans="1:14" x14ac:dyDescent="0.35">
      <c r="A285" t="s">
        <v>649</v>
      </c>
      <c r="B285" t="s">
        <v>650</v>
      </c>
      <c r="C285" t="s">
        <v>169</v>
      </c>
      <c r="D285" t="s">
        <v>170</v>
      </c>
      <c r="E285" s="1">
        <v>45802</v>
      </c>
      <c r="F285" s="2">
        <v>0.5209259259259259</v>
      </c>
      <c r="G285" t="s">
        <v>17</v>
      </c>
      <c r="H285" t="s">
        <v>18</v>
      </c>
      <c r="I285">
        <v>5</v>
      </c>
      <c r="J285">
        <v>1006.88</v>
      </c>
      <c r="L285" t="s">
        <v>35</v>
      </c>
      <c r="M285" t="s">
        <v>272</v>
      </c>
      <c r="N285" t="s">
        <v>172</v>
      </c>
    </row>
    <row r="286" spans="1:14" x14ac:dyDescent="0.35">
      <c r="A286" t="s">
        <v>651</v>
      </c>
      <c r="B286" t="s">
        <v>598</v>
      </c>
      <c r="C286" t="s">
        <v>128</v>
      </c>
      <c r="D286" t="s">
        <v>63</v>
      </c>
      <c r="E286" s="1">
        <v>46173</v>
      </c>
      <c r="F286" s="2">
        <v>0.52333333333333332</v>
      </c>
      <c r="G286" t="s">
        <v>93</v>
      </c>
      <c r="H286" t="s">
        <v>50</v>
      </c>
      <c r="I286">
        <v>3</v>
      </c>
      <c r="J286">
        <v>230.6</v>
      </c>
      <c r="L286" t="s">
        <v>42</v>
      </c>
      <c r="M286" t="s">
        <v>64</v>
      </c>
    </row>
    <row r="287" spans="1:14" x14ac:dyDescent="0.35">
      <c r="A287" t="s">
        <v>652</v>
      </c>
      <c r="B287" t="s">
        <v>653</v>
      </c>
      <c r="C287" t="s">
        <v>15</v>
      </c>
      <c r="D287" t="s">
        <v>16</v>
      </c>
      <c r="E287" s="1">
        <v>46187</v>
      </c>
      <c r="F287" s="2">
        <v>0.58496527777777774</v>
      </c>
      <c r="G287" t="s">
        <v>154</v>
      </c>
      <c r="H287" t="s">
        <v>34</v>
      </c>
      <c r="I287">
        <v>11</v>
      </c>
      <c r="J287">
        <v>448.12</v>
      </c>
      <c r="L287" t="s">
        <v>28</v>
      </c>
      <c r="M287" t="s">
        <v>20</v>
      </c>
      <c r="N287" t="s">
        <v>133</v>
      </c>
    </row>
    <row r="288" spans="1:14" x14ac:dyDescent="0.35">
      <c r="A288" t="s">
        <v>654</v>
      </c>
      <c r="B288" t="s">
        <v>362</v>
      </c>
      <c r="C288" t="s">
        <v>179</v>
      </c>
      <c r="D288" t="s">
        <v>41</v>
      </c>
      <c r="E288" s="1">
        <v>45286</v>
      </c>
      <c r="F288" s="2">
        <v>0.57871527777777776</v>
      </c>
      <c r="G288" t="s">
        <v>78</v>
      </c>
      <c r="H288" t="s">
        <v>79</v>
      </c>
      <c r="I288">
        <v>13</v>
      </c>
      <c r="L288" t="s">
        <v>35</v>
      </c>
      <c r="M288" t="s">
        <v>90</v>
      </c>
      <c r="N288" t="s">
        <v>133</v>
      </c>
    </row>
    <row r="289" spans="1:14" x14ac:dyDescent="0.35">
      <c r="A289" t="s">
        <v>655</v>
      </c>
      <c r="B289" t="s">
        <v>510</v>
      </c>
      <c r="C289" t="s">
        <v>136</v>
      </c>
      <c r="D289" t="s">
        <v>25</v>
      </c>
      <c r="E289" s="1">
        <v>46084</v>
      </c>
      <c r="F289" s="2">
        <v>0.69028935185185181</v>
      </c>
      <c r="G289" t="s">
        <v>26</v>
      </c>
      <c r="H289" t="s">
        <v>27</v>
      </c>
      <c r="I289">
        <v>6</v>
      </c>
      <c r="J289">
        <v>746.41</v>
      </c>
      <c r="L289" t="s">
        <v>72</v>
      </c>
      <c r="M289" t="s">
        <v>56</v>
      </c>
      <c r="N289" t="s">
        <v>133</v>
      </c>
    </row>
    <row r="290" spans="1:14" x14ac:dyDescent="0.35">
      <c r="A290" t="s">
        <v>656</v>
      </c>
      <c r="B290" t="s">
        <v>657</v>
      </c>
      <c r="C290" t="s">
        <v>98</v>
      </c>
      <c r="D290" t="s">
        <v>99</v>
      </c>
      <c r="E290" s="1">
        <v>45310</v>
      </c>
      <c r="F290" s="2">
        <v>0.91027777777777774</v>
      </c>
      <c r="G290" t="s">
        <v>33</v>
      </c>
      <c r="H290" t="s">
        <v>34</v>
      </c>
      <c r="I290">
        <v>6</v>
      </c>
      <c r="J290">
        <v>374.3</v>
      </c>
      <c r="L290" t="s">
        <v>55</v>
      </c>
      <c r="M290" t="s">
        <v>122</v>
      </c>
    </row>
    <row r="291" spans="1:14" x14ac:dyDescent="0.35">
      <c r="A291" t="s">
        <v>658</v>
      </c>
      <c r="B291" t="s">
        <v>512</v>
      </c>
      <c r="C291" t="s">
        <v>47</v>
      </c>
      <c r="D291" t="s">
        <v>48</v>
      </c>
      <c r="E291" s="1">
        <v>45116</v>
      </c>
      <c r="F291" s="2">
        <v>0.66795138888888894</v>
      </c>
      <c r="G291" t="s">
        <v>78</v>
      </c>
      <c r="H291" t="s">
        <v>79</v>
      </c>
      <c r="I291">
        <v>3</v>
      </c>
      <c r="J291">
        <v>189.27</v>
      </c>
      <c r="L291" t="s">
        <v>59</v>
      </c>
      <c r="M291" t="s">
        <v>85</v>
      </c>
      <c r="N291" t="s">
        <v>37</v>
      </c>
    </row>
    <row r="292" spans="1:14" x14ac:dyDescent="0.35">
      <c r="A292" t="s">
        <v>659</v>
      </c>
      <c r="B292" t="s">
        <v>660</v>
      </c>
      <c r="C292" t="s">
        <v>195</v>
      </c>
      <c r="D292" t="s">
        <v>63</v>
      </c>
      <c r="E292" s="1">
        <v>45867</v>
      </c>
      <c r="F292" s="2">
        <v>0.83024305555555555</v>
      </c>
      <c r="G292" t="s">
        <v>17</v>
      </c>
      <c r="H292" t="s">
        <v>18</v>
      </c>
      <c r="J292">
        <v>1143.53</v>
      </c>
      <c r="L292" t="s">
        <v>59</v>
      </c>
      <c r="M292" t="s">
        <v>64</v>
      </c>
      <c r="N292" t="s">
        <v>37</v>
      </c>
    </row>
    <row r="293" spans="1:14" x14ac:dyDescent="0.35">
      <c r="A293" t="s">
        <v>661</v>
      </c>
      <c r="B293" t="s">
        <v>662</v>
      </c>
      <c r="C293" t="s">
        <v>128</v>
      </c>
      <c r="D293" t="s">
        <v>63</v>
      </c>
      <c r="E293" s="1">
        <v>45584</v>
      </c>
      <c r="F293" s="2">
        <v>0.4710300925925926</v>
      </c>
      <c r="G293" t="s">
        <v>49</v>
      </c>
      <c r="H293" t="s">
        <v>50</v>
      </c>
      <c r="I293">
        <v>8</v>
      </c>
      <c r="J293">
        <v>205.99</v>
      </c>
      <c r="L293" t="s">
        <v>663</v>
      </c>
      <c r="M293" t="s">
        <v>241</v>
      </c>
    </row>
    <row r="294" spans="1:14" x14ac:dyDescent="0.35">
      <c r="A294" t="s">
        <v>664</v>
      </c>
      <c r="B294" t="s">
        <v>665</v>
      </c>
      <c r="C294" t="s">
        <v>139</v>
      </c>
      <c r="D294" t="s">
        <v>25</v>
      </c>
      <c r="E294" s="1">
        <v>45507</v>
      </c>
      <c r="F294" s="2">
        <v>0.41966435185185186</v>
      </c>
      <c r="G294" t="s">
        <v>49</v>
      </c>
      <c r="H294" t="s">
        <v>50</v>
      </c>
      <c r="I294">
        <v>9</v>
      </c>
      <c r="J294">
        <v>190.31</v>
      </c>
      <c r="L294" t="s">
        <v>666</v>
      </c>
      <c r="M294" t="s">
        <v>29</v>
      </c>
      <c r="N294" t="s">
        <v>249</v>
      </c>
    </row>
    <row r="295" spans="1:14" x14ac:dyDescent="0.35">
      <c r="A295" t="s">
        <v>667</v>
      </c>
      <c r="B295" t="s">
        <v>668</v>
      </c>
      <c r="C295" t="s">
        <v>150</v>
      </c>
      <c r="D295" t="s">
        <v>25</v>
      </c>
      <c r="E295" s="1">
        <v>45566</v>
      </c>
      <c r="F295" s="2">
        <v>0.88385416666666672</v>
      </c>
      <c r="G295" t="s">
        <v>49</v>
      </c>
      <c r="H295" t="s">
        <v>50</v>
      </c>
      <c r="J295">
        <v>260.08999999999997</v>
      </c>
      <c r="L295" t="s">
        <v>59</v>
      </c>
      <c r="M295" t="s">
        <v>29</v>
      </c>
    </row>
    <row r="296" spans="1:14" x14ac:dyDescent="0.35">
      <c r="A296" t="s">
        <v>669</v>
      </c>
      <c r="B296" t="s">
        <v>670</v>
      </c>
      <c r="C296" t="s">
        <v>150</v>
      </c>
      <c r="D296" t="s">
        <v>25</v>
      </c>
      <c r="E296" s="1">
        <v>45401</v>
      </c>
      <c r="F296" s="2">
        <v>0.45552083333333332</v>
      </c>
      <c r="G296" t="s">
        <v>184</v>
      </c>
      <c r="H296" t="s">
        <v>50</v>
      </c>
      <c r="I296">
        <v>6</v>
      </c>
      <c r="J296">
        <v>252.96</v>
      </c>
      <c r="L296" t="s">
        <v>28</v>
      </c>
      <c r="M296" t="s">
        <v>29</v>
      </c>
    </row>
    <row r="297" spans="1:14" x14ac:dyDescent="0.35">
      <c r="A297" t="s">
        <v>671</v>
      </c>
      <c r="B297" t="s">
        <v>213</v>
      </c>
      <c r="C297" t="s">
        <v>62</v>
      </c>
      <c r="D297" t="s">
        <v>63</v>
      </c>
      <c r="E297" s="1">
        <v>45640</v>
      </c>
      <c r="F297" s="2">
        <v>0.67112268518518514</v>
      </c>
      <c r="G297" t="s">
        <v>17</v>
      </c>
      <c r="H297" t="s">
        <v>18</v>
      </c>
      <c r="I297">
        <v>11</v>
      </c>
      <c r="L297" t="s">
        <v>28</v>
      </c>
      <c r="M297" t="s">
        <v>80</v>
      </c>
      <c r="N297" t="s">
        <v>44</v>
      </c>
    </row>
    <row r="298" spans="1:14" x14ac:dyDescent="0.35">
      <c r="A298" t="s">
        <v>672</v>
      </c>
      <c r="B298" t="s">
        <v>355</v>
      </c>
      <c r="C298" t="s">
        <v>195</v>
      </c>
      <c r="D298" t="s">
        <v>63</v>
      </c>
      <c r="E298" s="1">
        <v>45818</v>
      </c>
      <c r="F298" s="2">
        <v>0.69739583333333333</v>
      </c>
      <c r="G298" t="s">
        <v>26</v>
      </c>
      <c r="H298" t="s">
        <v>27</v>
      </c>
      <c r="I298">
        <v>2</v>
      </c>
      <c r="J298">
        <v>693.57</v>
      </c>
      <c r="L298" t="s">
        <v>42</v>
      </c>
      <c r="M298" t="s">
        <v>241</v>
      </c>
      <c r="N298" t="s">
        <v>37</v>
      </c>
    </row>
    <row r="299" spans="1:14" x14ac:dyDescent="0.35">
      <c r="A299" t="s">
        <v>673</v>
      </c>
      <c r="B299" t="s">
        <v>674</v>
      </c>
      <c r="C299" t="s">
        <v>98</v>
      </c>
      <c r="D299" t="s">
        <v>99</v>
      </c>
      <c r="E299" s="1">
        <v>46330</v>
      </c>
      <c r="F299" s="2">
        <v>0.56366898148148148</v>
      </c>
      <c r="G299" t="s">
        <v>17</v>
      </c>
      <c r="H299" t="s">
        <v>18</v>
      </c>
      <c r="J299">
        <v>1243.6300000000001</v>
      </c>
      <c r="L299" t="s">
        <v>55</v>
      </c>
      <c r="M299" t="s">
        <v>216</v>
      </c>
    </row>
    <row r="300" spans="1:14" x14ac:dyDescent="0.35">
      <c r="A300" t="s">
        <v>675</v>
      </c>
      <c r="B300" t="s">
        <v>476</v>
      </c>
      <c r="C300" t="s">
        <v>88</v>
      </c>
      <c r="D300" t="s">
        <v>41</v>
      </c>
      <c r="E300" s="1">
        <v>46094</v>
      </c>
      <c r="F300" s="2">
        <v>0.61525462962962962</v>
      </c>
      <c r="G300" t="s">
        <v>266</v>
      </c>
      <c r="H300" t="s">
        <v>34</v>
      </c>
      <c r="I300">
        <v>10</v>
      </c>
      <c r="L300" t="s">
        <v>59</v>
      </c>
      <c r="M300" t="s">
        <v>437</v>
      </c>
      <c r="N300" t="s">
        <v>30</v>
      </c>
    </row>
    <row r="301" spans="1:14" x14ac:dyDescent="0.35">
      <c r="A301" t="s">
        <v>676</v>
      </c>
      <c r="B301" t="s">
        <v>677</v>
      </c>
      <c r="C301" t="s">
        <v>40</v>
      </c>
      <c r="D301" t="s">
        <v>41</v>
      </c>
      <c r="E301" s="1">
        <v>45504</v>
      </c>
      <c r="F301" s="2">
        <v>0.47759259259259257</v>
      </c>
      <c r="G301" t="s">
        <v>49</v>
      </c>
      <c r="H301" t="s">
        <v>50</v>
      </c>
      <c r="I301">
        <v>6</v>
      </c>
      <c r="J301">
        <v>220.66</v>
      </c>
      <c r="L301" t="s">
        <v>42</v>
      </c>
      <c r="M301" t="s">
        <v>90</v>
      </c>
      <c r="N301" t="s">
        <v>74</v>
      </c>
    </row>
    <row r="302" spans="1:14" x14ac:dyDescent="0.35">
      <c r="A302" t="s">
        <v>678</v>
      </c>
      <c r="B302" t="s">
        <v>679</v>
      </c>
      <c r="C302" t="s">
        <v>139</v>
      </c>
      <c r="D302" t="s">
        <v>25</v>
      </c>
      <c r="E302" s="1">
        <v>46299</v>
      </c>
      <c r="F302" s="2">
        <v>0.41671296296296295</v>
      </c>
      <c r="G302" t="s">
        <v>17</v>
      </c>
      <c r="H302" t="s">
        <v>18</v>
      </c>
      <c r="I302">
        <v>15</v>
      </c>
      <c r="J302">
        <v>1018.37</v>
      </c>
      <c r="L302" t="s">
        <v>35</v>
      </c>
      <c r="M302" t="s">
        <v>155</v>
      </c>
      <c r="N302" t="s">
        <v>95</v>
      </c>
    </row>
    <row r="303" spans="1:14" x14ac:dyDescent="0.35">
      <c r="A303" t="s">
        <v>680</v>
      </c>
      <c r="B303" t="s">
        <v>469</v>
      </c>
      <c r="C303" t="s">
        <v>62</v>
      </c>
      <c r="D303" t="s">
        <v>63</v>
      </c>
      <c r="E303" s="1">
        <v>45970</v>
      </c>
      <c r="F303" s="2">
        <v>0.70310185185185181</v>
      </c>
      <c r="G303" t="s">
        <v>187</v>
      </c>
      <c r="H303" t="s">
        <v>79</v>
      </c>
      <c r="I303">
        <v>3</v>
      </c>
      <c r="J303">
        <v>120.56</v>
      </c>
      <c r="L303" t="s">
        <v>42</v>
      </c>
      <c r="M303" t="s">
        <v>80</v>
      </c>
      <c r="N303" t="s">
        <v>231</v>
      </c>
    </row>
    <row r="304" spans="1:14" x14ac:dyDescent="0.35">
      <c r="A304" t="s">
        <v>681</v>
      </c>
      <c r="B304" t="s">
        <v>682</v>
      </c>
      <c r="C304" t="s">
        <v>179</v>
      </c>
      <c r="D304" t="s">
        <v>41</v>
      </c>
      <c r="E304" s="1">
        <v>46370</v>
      </c>
      <c r="F304" s="2">
        <v>0.40104166666666669</v>
      </c>
      <c r="G304" t="s">
        <v>17</v>
      </c>
      <c r="H304" t="s">
        <v>18</v>
      </c>
      <c r="I304">
        <v>12</v>
      </c>
      <c r="J304">
        <v>1229.68</v>
      </c>
      <c r="L304" t="s">
        <v>28</v>
      </c>
      <c r="M304" t="s">
        <v>43</v>
      </c>
      <c r="N304" t="s">
        <v>249</v>
      </c>
    </row>
    <row r="305" spans="1:14" x14ac:dyDescent="0.35">
      <c r="A305" t="s">
        <v>683</v>
      </c>
      <c r="B305" t="s">
        <v>451</v>
      </c>
      <c r="C305" t="s">
        <v>70</v>
      </c>
      <c r="D305" t="s">
        <v>71</v>
      </c>
      <c r="E305" s="1">
        <v>46182</v>
      </c>
      <c r="F305" s="2">
        <v>0.56584490740740745</v>
      </c>
      <c r="G305" t="s">
        <v>17</v>
      </c>
      <c r="H305" t="s">
        <v>18</v>
      </c>
      <c r="I305">
        <v>9</v>
      </c>
      <c r="J305">
        <v>1086.98</v>
      </c>
      <c r="L305" t="s">
        <v>28</v>
      </c>
      <c r="M305" t="s">
        <v>73</v>
      </c>
    </row>
    <row r="306" spans="1:14" x14ac:dyDescent="0.35">
      <c r="A306" t="s">
        <v>684</v>
      </c>
      <c r="B306" t="s">
        <v>685</v>
      </c>
      <c r="C306" t="s">
        <v>179</v>
      </c>
      <c r="D306" t="s">
        <v>41</v>
      </c>
      <c r="E306" s="1">
        <v>45052</v>
      </c>
      <c r="F306" s="2">
        <v>0.71569444444444441</v>
      </c>
      <c r="G306" t="s">
        <v>17</v>
      </c>
      <c r="H306" t="s">
        <v>18</v>
      </c>
      <c r="I306">
        <v>5</v>
      </c>
      <c r="J306">
        <v>1112.1600000000001</v>
      </c>
      <c r="L306" t="s">
        <v>28</v>
      </c>
      <c r="M306" t="s">
        <v>43</v>
      </c>
    </row>
    <row r="307" spans="1:14" x14ac:dyDescent="0.35">
      <c r="A307" t="s">
        <v>686</v>
      </c>
      <c r="B307" t="s">
        <v>687</v>
      </c>
      <c r="C307" t="s">
        <v>407</v>
      </c>
      <c r="D307" t="s">
        <v>48</v>
      </c>
      <c r="E307" s="1">
        <v>45155</v>
      </c>
      <c r="F307" s="2">
        <v>0.74107638888888894</v>
      </c>
      <c r="G307" t="s">
        <v>78</v>
      </c>
      <c r="H307" t="s">
        <v>79</v>
      </c>
      <c r="I307">
        <v>3</v>
      </c>
      <c r="J307">
        <v>172.56</v>
      </c>
      <c r="L307" t="s">
        <v>433</v>
      </c>
      <c r="M307" t="s">
        <v>94</v>
      </c>
      <c r="N307" t="s">
        <v>249</v>
      </c>
    </row>
    <row r="308" spans="1:14" x14ac:dyDescent="0.35">
      <c r="A308" t="s">
        <v>688</v>
      </c>
      <c r="B308" t="s">
        <v>689</v>
      </c>
      <c r="C308" t="s">
        <v>77</v>
      </c>
      <c r="D308" t="s">
        <v>63</v>
      </c>
      <c r="E308" s="1">
        <v>45711</v>
      </c>
      <c r="F308" s="2">
        <v>0.76997685185185183</v>
      </c>
      <c r="G308" t="s">
        <v>26</v>
      </c>
      <c r="H308" t="s">
        <v>27</v>
      </c>
      <c r="I308">
        <v>12</v>
      </c>
      <c r="J308">
        <v>496.3</v>
      </c>
      <c r="L308" t="s">
        <v>28</v>
      </c>
      <c r="M308" t="s">
        <v>241</v>
      </c>
      <c r="N308" t="s">
        <v>142</v>
      </c>
    </row>
    <row r="309" spans="1:14" x14ac:dyDescent="0.35">
      <c r="A309" t="s">
        <v>690</v>
      </c>
      <c r="B309" t="s">
        <v>691</v>
      </c>
      <c r="C309" t="s">
        <v>24</v>
      </c>
      <c r="D309" t="s">
        <v>25</v>
      </c>
      <c r="E309" s="1">
        <v>46326</v>
      </c>
      <c r="F309" s="2">
        <v>0.63621527777777775</v>
      </c>
      <c r="G309" t="s">
        <v>49</v>
      </c>
      <c r="H309" t="s">
        <v>50</v>
      </c>
      <c r="I309">
        <v>1</v>
      </c>
      <c r="J309">
        <v>263.7</v>
      </c>
      <c r="L309" t="s">
        <v>42</v>
      </c>
      <c r="M309" t="s">
        <v>29</v>
      </c>
    </row>
    <row r="310" spans="1:14" x14ac:dyDescent="0.35">
      <c r="A310" t="s">
        <v>692</v>
      </c>
      <c r="B310" t="s">
        <v>693</v>
      </c>
      <c r="C310" t="s">
        <v>106</v>
      </c>
      <c r="D310" t="s">
        <v>107</v>
      </c>
      <c r="E310" s="1">
        <v>45613</v>
      </c>
      <c r="F310" s="2">
        <v>0.53548611111111111</v>
      </c>
      <c r="G310" t="s">
        <v>33</v>
      </c>
      <c r="H310" t="s">
        <v>34</v>
      </c>
      <c r="I310">
        <v>7</v>
      </c>
      <c r="J310">
        <v>455.06</v>
      </c>
      <c r="L310" t="s">
        <v>35</v>
      </c>
      <c r="M310" t="s">
        <v>108</v>
      </c>
      <c r="N310" t="s">
        <v>133</v>
      </c>
    </row>
    <row r="311" spans="1:14" x14ac:dyDescent="0.35">
      <c r="A311" t="s">
        <v>694</v>
      </c>
      <c r="B311" t="s">
        <v>695</v>
      </c>
      <c r="C311" t="s">
        <v>407</v>
      </c>
      <c r="D311" t="s">
        <v>48</v>
      </c>
      <c r="E311" s="1">
        <v>44951</v>
      </c>
      <c r="F311" s="2">
        <v>0.3979861111111111</v>
      </c>
      <c r="G311" t="s">
        <v>78</v>
      </c>
      <c r="H311" t="s">
        <v>79</v>
      </c>
      <c r="I311">
        <v>12</v>
      </c>
      <c r="J311">
        <v>134.47999999999999</v>
      </c>
      <c r="L311" t="s">
        <v>696</v>
      </c>
      <c r="M311" t="s">
        <v>85</v>
      </c>
      <c r="N311" t="s">
        <v>74</v>
      </c>
    </row>
    <row r="312" spans="1:14" x14ac:dyDescent="0.35">
      <c r="A312" t="s">
        <v>697</v>
      </c>
      <c r="B312" t="s">
        <v>406</v>
      </c>
      <c r="C312" t="s">
        <v>70</v>
      </c>
      <c r="D312" t="s">
        <v>71</v>
      </c>
      <c r="E312" s="1">
        <v>45696</v>
      </c>
      <c r="F312" s="2">
        <v>0.40568287037037037</v>
      </c>
      <c r="G312" t="s">
        <v>33</v>
      </c>
      <c r="H312" t="s">
        <v>34</v>
      </c>
      <c r="I312">
        <v>11</v>
      </c>
      <c r="J312">
        <v>447.76</v>
      </c>
      <c r="L312" t="s">
        <v>28</v>
      </c>
      <c r="M312" t="s">
        <v>190</v>
      </c>
      <c r="N312" t="s">
        <v>133</v>
      </c>
    </row>
    <row r="313" spans="1:14" x14ac:dyDescent="0.35">
      <c r="A313" t="s">
        <v>698</v>
      </c>
      <c r="B313" t="s">
        <v>418</v>
      </c>
      <c r="C313" t="s">
        <v>169</v>
      </c>
      <c r="D313" t="s">
        <v>170</v>
      </c>
      <c r="E313" s="1">
        <v>45608</v>
      </c>
      <c r="F313" s="2">
        <v>0.53629629629629627</v>
      </c>
      <c r="G313" t="s">
        <v>26</v>
      </c>
      <c r="H313" t="s">
        <v>27</v>
      </c>
      <c r="I313">
        <v>8</v>
      </c>
      <c r="J313">
        <v>540.20000000000005</v>
      </c>
      <c r="L313" t="s">
        <v>42</v>
      </c>
      <c r="M313" t="s">
        <v>171</v>
      </c>
      <c r="N313" t="s">
        <v>231</v>
      </c>
    </row>
    <row r="314" spans="1:14" x14ac:dyDescent="0.35">
      <c r="A314" t="s">
        <v>699</v>
      </c>
      <c r="B314" t="s">
        <v>700</v>
      </c>
      <c r="C314" t="s">
        <v>205</v>
      </c>
      <c r="D314" t="s">
        <v>170</v>
      </c>
      <c r="E314" s="1">
        <v>44998</v>
      </c>
      <c r="F314" s="2">
        <v>0.40053240740740742</v>
      </c>
      <c r="G314" t="s">
        <v>33</v>
      </c>
      <c r="H314" t="s">
        <v>34</v>
      </c>
      <c r="I314">
        <v>1</v>
      </c>
      <c r="J314">
        <v>349.77</v>
      </c>
      <c r="L314" t="s">
        <v>55</v>
      </c>
      <c r="M314" t="s">
        <v>272</v>
      </c>
      <c r="N314" t="s">
        <v>133</v>
      </c>
    </row>
    <row r="315" spans="1:14" x14ac:dyDescent="0.35">
      <c r="A315" t="s">
        <v>701</v>
      </c>
      <c r="B315" t="s">
        <v>702</v>
      </c>
      <c r="C315" t="s">
        <v>77</v>
      </c>
      <c r="D315" t="s">
        <v>63</v>
      </c>
      <c r="E315" s="1">
        <v>45820</v>
      </c>
      <c r="F315" s="2">
        <v>0.90751157407407412</v>
      </c>
      <c r="G315" t="s">
        <v>17</v>
      </c>
      <c r="H315" t="s">
        <v>18</v>
      </c>
      <c r="I315">
        <v>1</v>
      </c>
      <c r="J315">
        <v>1144.6300000000001</v>
      </c>
      <c r="L315" t="s">
        <v>42</v>
      </c>
      <c r="M315" t="s">
        <v>241</v>
      </c>
      <c r="N315" t="s">
        <v>133</v>
      </c>
    </row>
    <row r="316" spans="1:14" x14ac:dyDescent="0.35">
      <c r="A316" t="s">
        <v>703</v>
      </c>
      <c r="B316" t="s">
        <v>704</v>
      </c>
      <c r="C316" t="s">
        <v>70</v>
      </c>
      <c r="D316" t="s">
        <v>71</v>
      </c>
      <c r="E316" s="1">
        <v>46021</v>
      </c>
      <c r="F316" s="2">
        <v>0.41214120370370372</v>
      </c>
      <c r="G316" t="s">
        <v>33</v>
      </c>
      <c r="H316" t="s">
        <v>34</v>
      </c>
      <c r="I316">
        <v>3</v>
      </c>
      <c r="J316">
        <v>513.5</v>
      </c>
      <c r="L316" t="s">
        <v>35</v>
      </c>
      <c r="M316" t="s">
        <v>73</v>
      </c>
      <c r="N316" t="s">
        <v>30</v>
      </c>
    </row>
    <row r="317" spans="1:14" x14ac:dyDescent="0.35">
      <c r="A317" t="s">
        <v>705</v>
      </c>
      <c r="B317" t="s">
        <v>706</v>
      </c>
      <c r="C317" t="s">
        <v>139</v>
      </c>
      <c r="D317" t="s">
        <v>25</v>
      </c>
      <c r="E317" s="1">
        <v>45322</v>
      </c>
      <c r="F317" s="2">
        <v>0.81753472222222223</v>
      </c>
      <c r="G317" t="s">
        <v>196</v>
      </c>
      <c r="H317" t="s">
        <v>79</v>
      </c>
      <c r="I317">
        <v>13</v>
      </c>
      <c r="J317">
        <v>143.08000000000001</v>
      </c>
      <c r="L317" t="s">
        <v>59</v>
      </c>
      <c r="M317" t="s">
        <v>56</v>
      </c>
    </row>
    <row r="318" spans="1:14" x14ac:dyDescent="0.35">
      <c r="A318" t="s">
        <v>707</v>
      </c>
      <c r="B318" t="s">
        <v>596</v>
      </c>
      <c r="C318" t="s">
        <v>169</v>
      </c>
      <c r="D318" t="s">
        <v>170</v>
      </c>
      <c r="E318" s="1">
        <v>45360</v>
      </c>
      <c r="F318" s="2">
        <v>0.78883101851851856</v>
      </c>
      <c r="G318" t="s">
        <v>93</v>
      </c>
      <c r="H318" t="s">
        <v>50</v>
      </c>
      <c r="I318">
        <v>10</v>
      </c>
      <c r="J318">
        <v>183.92</v>
      </c>
      <c r="L318" t="s">
        <v>663</v>
      </c>
      <c r="M318" t="s">
        <v>272</v>
      </c>
      <c r="N318" t="s">
        <v>166</v>
      </c>
    </row>
    <row r="319" spans="1:14" x14ac:dyDescent="0.35">
      <c r="A319" t="s">
        <v>708</v>
      </c>
      <c r="B319" t="s">
        <v>709</v>
      </c>
      <c r="C319" t="s">
        <v>47</v>
      </c>
      <c r="D319" t="s">
        <v>48</v>
      </c>
      <c r="E319" s="1">
        <v>45126</v>
      </c>
      <c r="F319" s="2">
        <v>0.71589120370370374</v>
      </c>
      <c r="G319" t="s">
        <v>49</v>
      </c>
      <c r="H319" t="s">
        <v>50</v>
      </c>
      <c r="J319">
        <v>188.56</v>
      </c>
      <c r="L319" t="s">
        <v>59</v>
      </c>
      <c r="M319" t="s">
        <v>51</v>
      </c>
      <c r="N319" t="s">
        <v>231</v>
      </c>
    </row>
    <row r="320" spans="1:14" x14ac:dyDescent="0.35">
      <c r="A320" t="s">
        <v>710</v>
      </c>
      <c r="B320" t="s">
        <v>711</v>
      </c>
      <c r="C320" t="s">
        <v>88</v>
      </c>
      <c r="D320" t="s">
        <v>41</v>
      </c>
      <c r="E320" s="1">
        <v>46328</v>
      </c>
      <c r="F320" s="2">
        <v>0.57905092592592589</v>
      </c>
      <c r="G320" t="s">
        <v>163</v>
      </c>
      <c r="H320" t="s">
        <v>27</v>
      </c>
      <c r="I320">
        <v>10</v>
      </c>
      <c r="J320">
        <v>498.97</v>
      </c>
      <c r="L320" t="s">
        <v>28</v>
      </c>
      <c r="M320" t="s">
        <v>90</v>
      </c>
      <c r="N320" t="s">
        <v>125</v>
      </c>
    </row>
    <row r="321" spans="1:14" x14ac:dyDescent="0.35">
      <c r="A321" t="s">
        <v>712</v>
      </c>
      <c r="B321" t="s">
        <v>713</v>
      </c>
      <c r="C321" t="s">
        <v>98</v>
      </c>
      <c r="D321" t="s">
        <v>99</v>
      </c>
      <c r="E321" s="1">
        <v>45250</v>
      </c>
      <c r="F321" s="2">
        <v>0.62847222222222221</v>
      </c>
      <c r="G321" t="s">
        <v>17</v>
      </c>
      <c r="H321" t="s">
        <v>18</v>
      </c>
      <c r="I321">
        <v>2</v>
      </c>
      <c r="J321">
        <v>1096.8699999999999</v>
      </c>
      <c r="L321" t="s">
        <v>28</v>
      </c>
      <c r="M321" t="s">
        <v>122</v>
      </c>
      <c r="N321" t="s">
        <v>109</v>
      </c>
    </row>
    <row r="322" spans="1:14" x14ac:dyDescent="0.35">
      <c r="A322" t="s">
        <v>714</v>
      </c>
      <c r="B322" t="s">
        <v>715</v>
      </c>
      <c r="C322" t="s">
        <v>24</v>
      </c>
      <c r="D322" t="s">
        <v>25</v>
      </c>
      <c r="E322" s="1">
        <v>46177</v>
      </c>
      <c r="F322" s="2">
        <v>0.71649305555555554</v>
      </c>
      <c r="G322" t="s">
        <v>78</v>
      </c>
      <c r="H322" t="s">
        <v>79</v>
      </c>
      <c r="I322">
        <v>2</v>
      </c>
      <c r="J322">
        <v>178.69</v>
      </c>
      <c r="L322" t="s">
        <v>28</v>
      </c>
      <c r="M322" t="s">
        <v>56</v>
      </c>
      <c r="N322" t="s">
        <v>172</v>
      </c>
    </row>
    <row r="323" spans="1:14" x14ac:dyDescent="0.35">
      <c r="A323" t="s">
        <v>716</v>
      </c>
      <c r="B323" t="s">
        <v>329</v>
      </c>
      <c r="C323" t="s">
        <v>136</v>
      </c>
      <c r="D323" t="s">
        <v>25</v>
      </c>
      <c r="E323" s="1">
        <v>45877</v>
      </c>
      <c r="F323" s="2">
        <v>0.50222222222222224</v>
      </c>
      <c r="G323" t="s">
        <v>17</v>
      </c>
      <c r="H323" t="s">
        <v>18</v>
      </c>
      <c r="I323">
        <v>11</v>
      </c>
      <c r="J323">
        <v>1255.74</v>
      </c>
      <c r="L323" t="s">
        <v>433</v>
      </c>
      <c r="M323" t="s">
        <v>29</v>
      </c>
      <c r="N323" t="s">
        <v>30</v>
      </c>
    </row>
    <row r="324" spans="1:14" x14ac:dyDescent="0.35">
      <c r="A324" t="s">
        <v>717</v>
      </c>
      <c r="B324" t="s">
        <v>718</v>
      </c>
      <c r="C324" t="s">
        <v>150</v>
      </c>
      <c r="D324" t="s">
        <v>25</v>
      </c>
      <c r="E324" s="1">
        <v>45140</v>
      </c>
      <c r="F324" s="2">
        <v>0.67442129629629632</v>
      </c>
      <c r="G324" t="s">
        <v>17</v>
      </c>
      <c r="H324" t="s">
        <v>18</v>
      </c>
      <c r="I324">
        <v>2</v>
      </c>
      <c r="L324" t="s">
        <v>35</v>
      </c>
      <c r="M324" t="s">
        <v>155</v>
      </c>
      <c r="N324" t="s">
        <v>74</v>
      </c>
    </row>
    <row r="325" spans="1:14" x14ac:dyDescent="0.35">
      <c r="A325" t="s">
        <v>719</v>
      </c>
      <c r="B325" t="s">
        <v>720</v>
      </c>
      <c r="C325" t="s">
        <v>88</v>
      </c>
      <c r="D325" t="s">
        <v>41</v>
      </c>
      <c r="E325" s="1">
        <v>45127</v>
      </c>
      <c r="F325" s="2">
        <v>0.81035879629629626</v>
      </c>
      <c r="G325" t="s">
        <v>26</v>
      </c>
      <c r="H325" t="s">
        <v>27</v>
      </c>
      <c r="I325">
        <v>4</v>
      </c>
      <c r="L325" t="s">
        <v>59</v>
      </c>
      <c r="M325" t="s">
        <v>90</v>
      </c>
      <c r="N325" t="s">
        <v>95</v>
      </c>
    </row>
    <row r="326" spans="1:14" x14ac:dyDescent="0.35">
      <c r="A326" t="s">
        <v>721</v>
      </c>
      <c r="B326" t="s">
        <v>722</v>
      </c>
      <c r="C326" t="s">
        <v>40</v>
      </c>
      <c r="D326" t="s">
        <v>41</v>
      </c>
      <c r="E326" s="1">
        <v>45341</v>
      </c>
      <c r="F326" s="2">
        <v>0.41856481481481483</v>
      </c>
      <c r="G326" t="s">
        <v>49</v>
      </c>
      <c r="H326" t="s">
        <v>50</v>
      </c>
      <c r="J326">
        <v>269.68</v>
      </c>
      <c r="L326" t="s">
        <v>42</v>
      </c>
      <c r="M326" t="s">
        <v>43</v>
      </c>
    </row>
    <row r="327" spans="1:14" x14ac:dyDescent="0.35">
      <c r="A327" t="s">
        <v>723</v>
      </c>
      <c r="B327" t="s">
        <v>724</v>
      </c>
      <c r="C327" t="s">
        <v>62</v>
      </c>
      <c r="D327" t="s">
        <v>63</v>
      </c>
      <c r="E327" s="1">
        <v>46059</v>
      </c>
      <c r="F327" s="2">
        <v>0.39368055555555553</v>
      </c>
      <c r="G327" t="s">
        <v>49</v>
      </c>
      <c r="H327" t="s">
        <v>50</v>
      </c>
      <c r="I327">
        <v>4</v>
      </c>
      <c r="J327">
        <v>268.07</v>
      </c>
      <c r="L327" t="s">
        <v>72</v>
      </c>
      <c r="M327" t="s">
        <v>64</v>
      </c>
      <c r="N327" t="s">
        <v>44</v>
      </c>
    </row>
    <row r="328" spans="1:14" x14ac:dyDescent="0.35">
      <c r="A328" t="s">
        <v>725</v>
      </c>
      <c r="B328" t="s">
        <v>335</v>
      </c>
      <c r="C328" t="s">
        <v>139</v>
      </c>
      <c r="D328" t="s">
        <v>25</v>
      </c>
      <c r="E328" s="1">
        <v>44937</v>
      </c>
      <c r="F328" s="2">
        <v>0.33506944444444442</v>
      </c>
      <c r="G328" t="s">
        <v>49</v>
      </c>
      <c r="H328" t="s">
        <v>50</v>
      </c>
      <c r="J328">
        <v>228.72</v>
      </c>
      <c r="L328" t="s">
        <v>55</v>
      </c>
      <c r="M328" t="s">
        <v>29</v>
      </c>
      <c r="N328" t="s">
        <v>21</v>
      </c>
    </row>
    <row r="329" spans="1:14" x14ac:dyDescent="0.35">
      <c r="A329" t="s">
        <v>726</v>
      </c>
      <c r="B329" t="s">
        <v>727</v>
      </c>
      <c r="C329" t="s">
        <v>128</v>
      </c>
      <c r="D329" t="s">
        <v>63</v>
      </c>
      <c r="E329" s="1">
        <v>46253</v>
      </c>
      <c r="F329" s="2">
        <v>0.35465277777777776</v>
      </c>
      <c r="G329" t="s">
        <v>33</v>
      </c>
      <c r="H329" t="s">
        <v>34</v>
      </c>
      <c r="I329">
        <v>8</v>
      </c>
      <c r="J329">
        <v>469.46</v>
      </c>
      <c r="L329" t="s">
        <v>55</v>
      </c>
      <c r="M329" t="s">
        <v>241</v>
      </c>
      <c r="N329" t="s">
        <v>142</v>
      </c>
    </row>
    <row r="330" spans="1:14" x14ac:dyDescent="0.35">
      <c r="A330" t="s">
        <v>728</v>
      </c>
      <c r="B330" t="s">
        <v>729</v>
      </c>
      <c r="C330" t="s">
        <v>407</v>
      </c>
      <c r="D330" t="s">
        <v>48</v>
      </c>
      <c r="E330" s="1">
        <v>45071</v>
      </c>
      <c r="F330" s="2">
        <v>0.80663194444444442</v>
      </c>
      <c r="G330" t="s">
        <v>120</v>
      </c>
      <c r="H330" t="s">
        <v>18</v>
      </c>
      <c r="I330">
        <v>13</v>
      </c>
      <c r="J330">
        <v>1273.05</v>
      </c>
      <c r="L330" t="s">
        <v>59</v>
      </c>
      <c r="M330" t="s">
        <v>94</v>
      </c>
      <c r="N330" t="s">
        <v>133</v>
      </c>
    </row>
    <row r="331" spans="1:14" x14ac:dyDescent="0.35">
      <c r="A331" t="s">
        <v>730</v>
      </c>
      <c r="B331" t="s">
        <v>731</v>
      </c>
      <c r="C331" t="s">
        <v>40</v>
      </c>
      <c r="D331" t="s">
        <v>41</v>
      </c>
      <c r="E331" s="1">
        <v>45154</v>
      </c>
      <c r="F331" s="2">
        <v>0.56225694444444441</v>
      </c>
      <c r="G331" t="s">
        <v>17</v>
      </c>
      <c r="H331" t="s">
        <v>18</v>
      </c>
      <c r="I331">
        <v>3</v>
      </c>
      <c r="J331">
        <v>1152.44</v>
      </c>
      <c r="L331" t="s">
        <v>59</v>
      </c>
      <c r="M331" t="s">
        <v>90</v>
      </c>
      <c r="N331" t="s">
        <v>44</v>
      </c>
    </row>
    <row r="332" spans="1:14" x14ac:dyDescent="0.35">
      <c r="A332" t="s">
        <v>732</v>
      </c>
      <c r="B332" t="s">
        <v>376</v>
      </c>
      <c r="C332" t="s">
        <v>179</v>
      </c>
      <c r="D332" t="s">
        <v>41</v>
      </c>
      <c r="E332" s="1">
        <v>45388</v>
      </c>
      <c r="F332" s="2">
        <v>0.58144675925925926</v>
      </c>
      <c r="G332" t="s">
        <v>49</v>
      </c>
      <c r="H332" t="s">
        <v>50</v>
      </c>
      <c r="I332">
        <v>5</v>
      </c>
      <c r="L332" t="s">
        <v>28</v>
      </c>
      <c r="M332" t="s">
        <v>90</v>
      </c>
      <c r="N332" t="s">
        <v>37</v>
      </c>
    </row>
    <row r="333" spans="1:14" x14ac:dyDescent="0.35">
      <c r="A333" t="s">
        <v>733</v>
      </c>
      <c r="B333" t="s">
        <v>734</v>
      </c>
      <c r="C333" t="s">
        <v>150</v>
      </c>
      <c r="D333" t="s">
        <v>25</v>
      </c>
      <c r="E333" s="1">
        <v>46305</v>
      </c>
      <c r="F333" s="2">
        <v>0.49856481481481479</v>
      </c>
      <c r="G333" t="s">
        <v>78</v>
      </c>
      <c r="H333" t="s">
        <v>79</v>
      </c>
      <c r="J333">
        <v>133.41</v>
      </c>
      <c r="L333" t="s">
        <v>55</v>
      </c>
      <c r="M333" t="s">
        <v>29</v>
      </c>
      <c r="N333" t="s">
        <v>103</v>
      </c>
    </row>
    <row r="334" spans="1:14" x14ac:dyDescent="0.35">
      <c r="A334" t="s">
        <v>735</v>
      </c>
      <c r="B334" t="s">
        <v>580</v>
      </c>
      <c r="C334" t="s">
        <v>128</v>
      </c>
      <c r="D334" t="s">
        <v>63</v>
      </c>
      <c r="E334" s="1">
        <v>46324</v>
      </c>
      <c r="F334" s="2">
        <v>0.64057870370370373</v>
      </c>
      <c r="G334" t="s">
        <v>78</v>
      </c>
      <c r="H334" t="s">
        <v>79</v>
      </c>
      <c r="I334">
        <v>1</v>
      </c>
      <c r="J334">
        <v>124.72</v>
      </c>
      <c r="L334" t="s">
        <v>35</v>
      </c>
      <c r="M334" t="s">
        <v>64</v>
      </c>
      <c r="N334" t="s">
        <v>133</v>
      </c>
    </row>
    <row r="335" spans="1:14" x14ac:dyDescent="0.35">
      <c r="A335" t="s">
        <v>736</v>
      </c>
      <c r="B335" t="s">
        <v>737</v>
      </c>
      <c r="C335" t="s">
        <v>136</v>
      </c>
      <c r="D335" t="s">
        <v>25</v>
      </c>
      <c r="E335" s="1">
        <v>45864</v>
      </c>
      <c r="F335" s="2">
        <v>0.71454861111111112</v>
      </c>
      <c r="G335" t="s">
        <v>33</v>
      </c>
      <c r="H335" t="s">
        <v>34</v>
      </c>
      <c r="I335">
        <v>5</v>
      </c>
      <c r="J335">
        <v>394.38</v>
      </c>
      <c r="L335" t="s">
        <v>240</v>
      </c>
      <c r="M335" t="s">
        <v>56</v>
      </c>
      <c r="N335" t="s">
        <v>95</v>
      </c>
    </row>
    <row r="336" spans="1:14" x14ac:dyDescent="0.35">
      <c r="A336" t="s">
        <v>738</v>
      </c>
      <c r="B336" t="s">
        <v>553</v>
      </c>
      <c r="C336" t="s">
        <v>128</v>
      </c>
      <c r="D336" t="s">
        <v>63</v>
      </c>
      <c r="E336" s="1">
        <v>45286</v>
      </c>
      <c r="F336" s="2">
        <v>0.42716435185185186</v>
      </c>
      <c r="G336" t="s">
        <v>17</v>
      </c>
      <c r="H336" t="s">
        <v>18</v>
      </c>
      <c r="I336">
        <v>10</v>
      </c>
      <c r="J336">
        <v>930.2</v>
      </c>
      <c r="L336" t="s">
        <v>35</v>
      </c>
      <c r="M336" t="s">
        <v>241</v>
      </c>
    </row>
    <row r="337" spans="1:14" x14ac:dyDescent="0.35">
      <c r="A337" t="s">
        <v>739</v>
      </c>
      <c r="B337" t="s">
        <v>165</v>
      </c>
      <c r="C337" t="s">
        <v>128</v>
      </c>
      <c r="D337" t="s">
        <v>63</v>
      </c>
      <c r="E337" s="1">
        <v>44978</v>
      </c>
      <c r="F337" s="2">
        <v>0.65913194444444445</v>
      </c>
      <c r="G337" t="s">
        <v>78</v>
      </c>
      <c r="H337" t="s">
        <v>79</v>
      </c>
      <c r="I337">
        <v>3</v>
      </c>
      <c r="L337" t="s">
        <v>59</v>
      </c>
      <c r="M337" t="s">
        <v>241</v>
      </c>
      <c r="N337" t="s">
        <v>103</v>
      </c>
    </row>
    <row r="338" spans="1:14" x14ac:dyDescent="0.35">
      <c r="A338" t="s">
        <v>740</v>
      </c>
      <c r="B338" t="s">
        <v>741</v>
      </c>
      <c r="C338" t="s">
        <v>139</v>
      </c>
      <c r="D338" t="s">
        <v>25</v>
      </c>
      <c r="E338" s="1">
        <v>45832</v>
      </c>
      <c r="F338" s="2">
        <v>0.79706018518518518</v>
      </c>
      <c r="G338" t="s">
        <v>78</v>
      </c>
      <c r="H338" t="s">
        <v>79</v>
      </c>
      <c r="I338">
        <v>3</v>
      </c>
      <c r="J338">
        <v>128.77000000000001</v>
      </c>
      <c r="L338" t="s">
        <v>55</v>
      </c>
      <c r="M338" t="s">
        <v>29</v>
      </c>
      <c r="N338" t="s">
        <v>249</v>
      </c>
    </row>
    <row r="339" spans="1:14" x14ac:dyDescent="0.35">
      <c r="A339" t="s">
        <v>742</v>
      </c>
      <c r="B339" t="s">
        <v>743</v>
      </c>
      <c r="C339" t="s">
        <v>24</v>
      </c>
      <c r="D339" t="s">
        <v>25</v>
      </c>
      <c r="E339" s="1">
        <v>45327</v>
      </c>
      <c r="F339" s="2">
        <v>0.39923611111111112</v>
      </c>
      <c r="G339" t="s">
        <v>78</v>
      </c>
      <c r="H339" t="s">
        <v>79</v>
      </c>
      <c r="I339">
        <v>2</v>
      </c>
      <c r="J339">
        <v>149.58000000000001</v>
      </c>
      <c r="L339" t="s">
        <v>42</v>
      </c>
      <c r="M339" t="s">
        <v>29</v>
      </c>
      <c r="N339" t="s">
        <v>30</v>
      </c>
    </row>
    <row r="340" spans="1:14" x14ac:dyDescent="0.35">
      <c r="A340" t="s">
        <v>744</v>
      </c>
      <c r="B340" t="s">
        <v>745</v>
      </c>
      <c r="C340" t="s">
        <v>40</v>
      </c>
      <c r="D340" t="s">
        <v>41</v>
      </c>
      <c r="E340" s="1">
        <v>45509</v>
      </c>
      <c r="F340" s="2">
        <v>0.55518518518518523</v>
      </c>
      <c r="G340" t="s">
        <v>49</v>
      </c>
      <c r="H340" t="s">
        <v>50</v>
      </c>
      <c r="J340">
        <v>224.86</v>
      </c>
      <c r="L340" t="s">
        <v>42</v>
      </c>
      <c r="M340" t="s">
        <v>90</v>
      </c>
      <c r="N340" t="s">
        <v>231</v>
      </c>
    </row>
    <row r="341" spans="1:14" x14ac:dyDescent="0.35">
      <c r="A341" t="s">
        <v>746</v>
      </c>
      <c r="B341" t="s">
        <v>747</v>
      </c>
      <c r="C341" t="s">
        <v>70</v>
      </c>
      <c r="D341" t="s">
        <v>71</v>
      </c>
      <c r="E341" s="1">
        <v>45352</v>
      </c>
      <c r="F341" s="2">
        <v>0.66357638888888892</v>
      </c>
      <c r="G341" t="s">
        <v>33</v>
      </c>
      <c r="H341" t="s">
        <v>34</v>
      </c>
      <c r="J341">
        <v>471.22</v>
      </c>
      <c r="L341" t="s">
        <v>19</v>
      </c>
      <c r="M341" t="s">
        <v>190</v>
      </c>
      <c r="N341" t="s">
        <v>125</v>
      </c>
    </row>
    <row r="342" spans="1:14" x14ac:dyDescent="0.35">
      <c r="A342" t="s">
        <v>748</v>
      </c>
      <c r="B342" t="s">
        <v>749</v>
      </c>
      <c r="C342" t="s">
        <v>195</v>
      </c>
      <c r="D342" t="s">
        <v>63</v>
      </c>
      <c r="E342" s="1">
        <v>45708</v>
      </c>
      <c r="F342" s="2">
        <v>0.68821759259259263</v>
      </c>
      <c r="G342" t="s">
        <v>33</v>
      </c>
      <c r="H342" t="s">
        <v>34</v>
      </c>
      <c r="I342">
        <v>5</v>
      </c>
      <c r="J342">
        <v>467.97</v>
      </c>
      <c r="L342" t="s">
        <v>750</v>
      </c>
      <c r="M342" t="s">
        <v>64</v>
      </c>
    </row>
    <row r="343" spans="1:14" x14ac:dyDescent="0.35">
      <c r="A343" t="s">
        <v>751</v>
      </c>
      <c r="B343" t="s">
        <v>752</v>
      </c>
      <c r="C343" t="s">
        <v>77</v>
      </c>
      <c r="D343" t="s">
        <v>63</v>
      </c>
      <c r="E343" s="1">
        <v>44985</v>
      </c>
      <c r="F343" s="2">
        <v>0.8454976851851852</v>
      </c>
      <c r="G343" t="s">
        <v>54</v>
      </c>
      <c r="H343" t="s">
        <v>18</v>
      </c>
      <c r="I343">
        <v>6</v>
      </c>
      <c r="J343">
        <v>1082.79</v>
      </c>
      <c r="L343" t="s">
        <v>28</v>
      </c>
      <c r="M343" t="s">
        <v>80</v>
      </c>
      <c r="N343" t="s">
        <v>37</v>
      </c>
    </row>
    <row r="344" spans="1:14" x14ac:dyDescent="0.35">
      <c r="A344" t="s">
        <v>753</v>
      </c>
      <c r="B344" t="s">
        <v>754</v>
      </c>
      <c r="C344" t="s">
        <v>62</v>
      </c>
      <c r="D344" t="s">
        <v>63</v>
      </c>
      <c r="E344" s="1">
        <v>45046</v>
      </c>
      <c r="F344" s="2">
        <v>0.56245370370370373</v>
      </c>
      <c r="G344" t="s">
        <v>26</v>
      </c>
      <c r="H344" t="s">
        <v>27</v>
      </c>
      <c r="I344">
        <v>1</v>
      </c>
      <c r="J344">
        <v>605.85</v>
      </c>
      <c r="L344" t="s">
        <v>72</v>
      </c>
      <c r="M344" t="s">
        <v>64</v>
      </c>
      <c r="N344" t="s">
        <v>249</v>
      </c>
    </row>
    <row r="345" spans="1:14" x14ac:dyDescent="0.35">
      <c r="A345" t="s">
        <v>755</v>
      </c>
      <c r="B345" t="s">
        <v>756</v>
      </c>
      <c r="C345" t="s">
        <v>98</v>
      </c>
      <c r="D345" t="s">
        <v>99</v>
      </c>
      <c r="E345" s="1">
        <v>46040</v>
      </c>
      <c r="F345" s="2">
        <v>0.88949074074074075</v>
      </c>
      <c r="G345" t="s">
        <v>33</v>
      </c>
      <c r="H345" t="s">
        <v>34</v>
      </c>
      <c r="I345">
        <v>12</v>
      </c>
      <c r="J345">
        <v>339.17</v>
      </c>
      <c r="L345" t="s">
        <v>59</v>
      </c>
      <c r="M345" t="s">
        <v>216</v>
      </c>
    </row>
    <row r="346" spans="1:14" x14ac:dyDescent="0.35">
      <c r="A346" t="s">
        <v>757</v>
      </c>
      <c r="B346" t="s">
        <v>39</v>
      </c>
      <c r="C346" t="s">
        <v>15</v>
      </c>
      <c r="D346" t="s">
        <v>16</v>
      </c>
      <c r="E346" s="1">
        <v>45243</v>
      </c>
      <c r="F346" s="2">
        <v>0.88391203703703702</v>
      </c>
      <c r="G346" t="s">
        <v>93</v>
      </c>
      <c r="H346" t="s">
        <v>50</v>
      </c>
      <c r="I346">
        <v>14</v>
      </c>
      <c r="J346">
        <v>269.07</v>
      </c>
      <c r="L346" t="s">
        <v>59</v>
      </c>
      <c r="M346" t="s">
        <v>20</v>
      </c>
    </row>
    <row r="347" spans="1:14" x14ac:dyDescent="0.35">
      <c r="A347" t="s">
        <v>758</v>
      </c>
      <c r="B347" t="s">
        <v>759</v>
      </c>
      <c r="C347" t="s">
        <v>128</v>
      </c>
      <c r="D347" t="s">
        <v>63</v>
      </c>
      <c r="E347" s="1">
        <v>45211</v>
      </c>
      <c r="F347" s="2">
        <v>0.7318055555555556</v>
      </c>
      <c r="G347" t="s">
        <v>33</v>
      </c>
      <c r="H347" t="s">
        <v>34</v>
      </c>
      <c r="I347">
        <v>5</v>
      </c>
      <c r="L347" t="s">
        <v>55</v>
      </c>
      <c r="M347" t="s">
        <v>64</v>
      </c>
      <c r="N347" t="s">
        <v>44</v>
      </c>
    </row>
    <row r="348" spans="1:14" x14ac:dyDescent="0.35">
      <c r="A348" t="s">
        <v>760</v>
      </c>
      <c r="B348" t="s">
        <v>761</v>
      </c>
      <c r="C348" t="s">
        <v>15</v>
      </c>
      <c r="D348" t="s">
        <v>16</v>
      </c>
      <c r="E348" s="1">
        <v>44965</v>
      </c>
      <c r="F348" s="2">
        <v>0.85210648148148149</v>
      </c>
      <c r="G348" t="s">
        <v>26</v>
      </c>
      <c r="H348" t="s">
        <v>27</v>
      </c>
      <c r="I348">
        <v>13</v>
      </c>
      <c r="J348">
        <v>657.95</v>
      </c>
      <c r="L348" t="s">
        <v>42</v>
      </c>
      <c r="M348" t="s">
        <v>20</v>
      </c>
      <c r="N348" t="s">
        <v>21</v>
      </c>
    </row>
    <row r="349" spans="1:14" x14ac:dyDescent="0.35">
      <c r="A349" t="s">
        <v>762</v>
      </c>
      <c r="B349" t="s">
        <v>325</v>
      </c>
      <c r="C349" t="s">
        <v>179</v>
      </c>
      <c r="D349" t="s">
        <v>41</v>
      </c>
      <c r="E349" s="1">
        <v>45305</v>
      </c>
      <c r="F349" s="2">
        <v>0.33690972222222221</v>
      </c>
      <c r="G349" t="s">
        <v>33</v>
      </c>
      <c r="H349" t="s">
        <v>34</v>
      </c>
      <c r="I349">
        <v>6</v>
      </c>
      <c r="J349">
        <v>491.03</v>
      </c>
      <c r="L349" t="s">
        <v>59</v>
      </c>
      <c r="M349" t="s">
        <v>90</v>
      </c>
      <c r="N349" t="s">
        <v>21</v>
      </c>
    </row>
    <row r="350" spans="1:14" x14ac:dyDescent="0.35">
      <c r="A350" t="s">
        <v>763</v>
      </c>
      <c r="B350" t="s">
        <v>764</v>
      </c>
      <c r="C350" t="s">
        <v>67</v>
      </c>
      <c r="D350" t="s">
        <v>16</v>
      </c>
      <c r="E350" s="1">
        <v>45129</v>
      </c>
      <c r="F350" s="2">
        <v>0.70468750000000002</v>
      </c>
      <c r="G350" t="s">
        <v>78</v>
      </c>
      <c r="H350" t="s">
        <v>79</v>
      </c>
      <c r="I350">
        <v>10</v>
      </c>
      <c r="J350">
        <v>170.51</v>
      </c>
      <c r="L350" t="s">
        <v>55</v>
      </c>
      <c r="M350" t="s">
        <v>36</v>
      </c>
      <c r="N350" t="s">
        <v>74</v>
      </c>
    </row>
    <row r="351" spans="1:14" x14ac:dyDescent="0.35">
      <c r="A351" t="s">
        <v>765</v>
      </c>
      <c r="B351" t="s">
        <v>766</v>
      </c>
      <c r="C351" t="s">
        <v>15</v>
      </c>
      <c r="D351" t="s">
        <v>16</v>
      </c>
      <c r="E351" s="1">
        <v>45152</v>
      </c>
      <c r="F351" s="2">
        <v>0.658599537037037</v>
      </c>
      <c r="G351" t="s">
        <v>33</v>
      </c>
      <c r="H351" t="s">
        <v>34</v>
      </c>
      <c r="I351">
        <v>1</v>
      </c>
      <c r="L351" t="s">
        <v>42</v>
      </c>
      <c r="M351" t="s">
        <v>36</v>
      </c>
    </row>
    <row r="352" spans="1:14" x14ac:dyDescent="0.35">
      <c r="A352" t="s">
        <v>767</v>
      </c>
      <c r="B352" t="s">
        <v>189</v>
      </c>
      <c r="C352" t="s">
        <v>128</v>
      </c>
      <c r="D352" t="s">
        <v>63</v>
      </c>
      <c r="E352" s="1">
        <v>45313</v>
      </c>
      <c r="F352" s="2">
        <v>0.91076388888888893</v>
      </c>
      <c r="G352" t="s">
        <v>33</v>
      </c>
      <c r="H352" t="s">
        <v>34</v>
      </c>
      <c r="I352">
        <v>11</v>
      </c>
      <c r="J352">
        <v>341.03</v>
      </c>
      <c r="L352" t="s">
        <v>42</v>
      </c>
      <c r="M352" t="s">
        <v>64</v>
      </c>
      <c r="N352" t="s">
        <v>142</v>
      </c>
    </row>
    <row r="353" spans="1:14" x14ac:dyDescent="0.35">
      <c r="A353" t="s">
        <v>768</v>
      </c>
      <c r="B353" t="s">
        <v>769</v>
      </c>
      <c r="C353" t="s">
        <v>70</v>
      </c>
      <c r="D353" t="s">
        <v>71</v>
      </c>
      <c r="E353" s="1">
        <v>45334</v>
      </c>
      <c r="F353" s="2">
        <v>0.48534722222222221</v>
      </c>
      <c r="G353" t="s">
        <v>78</v>
      </c>
      <c r="H353" t="s">
        <v>79</v>
      </c>
      <c r="I353">
        <v>14</v>
      </c>
      <c r="J353">
        <v>157.43</v>
      </c>
      <c r="L353" t="s">
        <v>59</v>
      </c>
      <c r="M353" t="s">
        <v>73</v>
      </c>
      <c r="N353" t="s">
        <v>142</v>
      </c>
    </row>
    <row r="354" spans="1:14" x14ac:dyDescent="0.35">
      <c r="A354" t="s">
        <v>770</v>
      </c>
      <c r="B354" t="s">
        <v>771</v>
      </c>
      <c r="C354" t="s">
        <v>136</v>
      </c>
      <c r="D354" t="s">
        <v>25</v>
      </c>
      <c r="E354" s="1">
        <v>45228</v>
      </c>
      <c r="F354" s="2">
        <v>0.38004629629629627</v>
      </c>
      <c r="G354" t="s">
        <v>78</v>
      </c>
      <c r="H354" t="s">
        <v>79</v>
      </c>
      <c r="I354">
        <v>11</v>
      </c>
      <c r="J354">
        <v>122.23</v>
      </c>
      <c r="L354" t="s">
        <v>147</v>
      </c>
      <c r="M354" t="s">
        <v>56</v>
      </c>
      <c r="N354" t="s">
        <v>125</v>
      </c>
    </row>
    <row r="355" spans="1:14" x14ac:dyDescent="0.35">
      <c r="A355" t="s">
        <v>772</v>
      </c>
      <c r="B355" t="s">
        <v>773</v>
      </c>
      <c r="C355" t="s">
        <v>98</v>
      </c>
      <c r="D355" t="s">
        <v>99</v>
      </c>
      <c r="E355" s="1">
        <v>45083</v>
      </c>
      <c r="F355" s="2">
        <v>0.8536111111111111</v>
      </c>
      <c r="G355" t="s">
        <v>154</v>
      </c>
      <c r="H355" t="s">
        <v>34</v>
      </c>
      <c r="I355">
        <v>8</v>
      </c>
      <c r="J355">
        <v>428.49</v>
      </c>
      <c r="L355" t="s">
        <v>158</v>
      </c>
      <c r="M355" t="s">
        <v>216</v>
      </c>
      <c r="N355" t="s">
        <v>231</v>
      </c>
    </row>
    <row r="356" spans="1:14" x14ac:dyDescent="0.35">
      <c r="A356" t="s">
        <v>774</v>
      </c>
      <c r="B356" t="s">
        <v>207</v>
      </c>
      <c r="C356" t="s">
        <v>169</v>
      </c>
      <c r="D356" t="s">
        <v>170</v>
      </c>
      <c r="E356" s="1">
        <v>45868</v>
      </c>
      <c r="F356" s="2">
        <v>0.34137731481481481</v>
      </c>
      <c r="G356" t="s">
        <v>33</v>
      </c>
      <c r="H356" t="s">
        <v>34</v>
      </c>
      <c r="I356">
        <v>3</v>
      </c>
      <c r="J356">
        <v>346.9</v>
      </c>
      <c r="L356" t="s">
        <v>42</v>
      </c>
      <c r="M356" t="s">
        <v>171</v>
      </c>
      <c r="N356" t="s">
        <v>103</v>
      </c>
    </row>
    <row r="357" spans="1:14" x14ac:dyDescent="0.35">
      <c r="A357" t="s">
        <v>775</v>
      </c>
      <c r="B357" t="s">
        <v>776</v>
      </c>
      <c r="C357" t="s">
        <v>205</v>
      </c>
      <c r="D357" t="s">
        <v>170</v>
      </c>
      <c r="E357" s="1">
        <v>46137</v>
      </c>
      <c r="F357" s="2">
        <v>0.73844907407407412</v>
      </c>
      <c r="G357" t="s">
        <v>33</v>
      </c>
      <c r="H357" t="s">
        <v>34</v>
      </c>
      <c r="I357">
        <v>1</v>
      </c>
      <c r="J357">
        <v>345.64</v>
      </c>
      <c r="L357" t="s">
        <v>777</v>
      </c>
      <c r="M357" t="s">
        <v>171</v>
      </c>
      <c r="N357" t="s">
        <v>133</v>
      </c>
    </row>
    <row r="358" spans="1:14" x14ac:dyDescent="0.35">
      <c r="A358" t="s">
        <v>778</v>
      </c>
      <c r="B358" t="s">
        <v>715</v>
      </c>
      <c r="C358" t="s">
        <v>40</v>
      </c>
      <c r="D358" t="s">
        <v>41</v>
      </c>
      <c r="E358" s="1">
        <v>46281</v>
      </c>
      <c r="F358" s="2">
        <v>0.46922453703703704</v>
      </c>
      <c r="G358" t="s">
        <v>33</v>
      </c>
      <c r="H358" t="s">
        <v>34</v>
      </c>
      <c r="I358">
        <v>15</v>
      </c>
      <c r="J358">
        <v>493.79</v>
      </c>
      <c r="L358" t="s">
        <v>696</v>
      </c>
      <c r="M358" t="s">
        <v>90</v>
      </c>
      <c r="N358" t="s">
        <v>95</v>
      </c>
    </row>
    <row r="359" spans="1:14" x14ac:dyDescent="0.35">
      <c r="A359" t="s">
        <v>779</v>
      </c>
      <c r="B359" t="s">
        <v>224</v>
      </c>
      <c r="C359" t="s">
        <v>205</v>
      </c>
      <c r="D359" t="s">
        <v>170</v>
      </c>
      <c r="E359" s="1">
        <v>46352</v>
      </c>
      <c r="F359" s="2">
        <v>0.70925925925925926</v>
      </c>
      <c r="G359" t="s">
        <v>78</v>
      </c>
      <c r="H359" t="s">
        <v>79</v>
      </c>
      <c r="I359">
        <v>6</v>
      </c>
      <c r="J359">
        <v>180.62</v>
      </c>
      <c r="L359" t="s">
        <v>55</v>
      </c>
      <c r="M359" t="s">
        <v>272</v>
      </c>
      <c r="N359" t="s">
        <v>133</v>
      </c>
    </row>
    <row r="360" spans="1:14" x14ac:dyDescent="0.35">
      <c r="A360" t="s">
        <v>780</v>
      </c>
      <c r="B360" t="s">
        <v>781</v>
      </c>
      <c r="C360" t="s">
        <v>77</v>
      </c>
      <c r="D360" t="s">
        <v>63</v>
      </c>
      <c r="E360" s="1">
        <v>46024</v>
      </c>
      <c r="F360" s="2">
        <v>0.5111458333333333</v>
      </c>
      <c r="G360" t="s">
        <v>33</v>
      </c>
      <c r="H360" t="s">
        <v>34</v>
      </c>
      <c r="I360">
        <v>7</v>
      </c>
      <c r="J360">
        <v>444.91</v>
      </c>
      <c r="L360" t="s">
        <v>55</v>
      </c>
      <c r="M360" t="s">
        <v>80</v>
      </c>
    </row>
    <row r="361" spans="1:14" x14ac:dyDescent="0.35">
      <c r="A361" t="s">
        <v>782</v>
      </c>
      <c r="B361" t="s">
        <v>783</v>
      </c>
      <c r="C361" t="s">
        <v>40</v>
      </c>
      <c r="D361" t="s">
        <v>41</v>
      </c>
      <c r="E361" s="1">
        <v>46261</v>
      </c>
      <c r="F361" s="2">
        <v>0.70230324074074069</v>
      </c>
      <c r="G361" t="s">
        <v>78</v>
      </c>
      <c r="H361" t="s">
        <v>79</v>
      </c>
      <c r="I361">
        <v>6</v>
      </c>
      <c r="J361">
        <v>150.16999999999999</v>
      </c>
      <c r="L361" t="s">
        <v>59</v>
      </c>
      <c r="M361" t="s">
        <v>90</v>
      </c>
      <c r="N361" t="s">
        <v>21</v>
      </c>
    </row>
    <row r="362" spans="1:14" x14ac:dyDescent="0.35">
      <c r="A362" t="s">
        <v>784</v>
      </c>
      <c r="B362" t="s">
        <v>785</v>
      </c>
      <c r="C362" t="s">
        <v>195</v>
      </c>
      <c r="D362" t="s">
        <v>63</v>
      </c>
      <c r="E362" s="1">
        <v>45475</v>
      </c>
      <c r="F362" s="2">
        <v>0.7407407407407407</v>
      </c>
      <c r="G362" t="s">
        <v>17</v>
      </c>
      <c r="H362" t="s">
        <v>18</v>
      </c>
      <c r="I362">
        <v>6</v>
      </c>
      <c r="J362">
        <v>920.19</v>
      </c>
      <c r="L362" t="s">
        <v>28</v>
      </c>
      <c r="M362" t="s">
        <v>241</v>
      </c>
      <c r="N362" t="s">
        <v>249</v>
      </c>
    </row>
    <row r="363" spans="1:14" x14ac:dyDescent="0.35">
      <c r="A363" t="s">
        <v>786</v>
      </c>
      <c r="B363" t="s">
        <v>209</v>
      </c>
      <c r="C363" t="s">
        <v>62</v>
      </c>
      <c r="D363" t="s">
        <v>63</v>
      </c>
      <c r="E363" s="1">
        <v>46333</v>
      </c>
      <c r="F363" s="2">
        <v>0.59383101851851849</v>
      </c>
      <c r="G363" t="s">
        <v>163</v>
      </c>
      <c r="H363" t="s">
        <v>27</v>
      </c>
      <c r="I363">
        <v>4</v>
      </c>
      <c r="J363">
        <v>573.16</v>
      </c>
      <c r="L363" t="s">
        <v>42</v>
      </c>
      <c r="M363" t="s">
        <v>80</v>
      </c>
      <c r="N363" t="s">
        <v>166</v>
      </c>
    </row>
    <row r="364" spans="1:14" x14ac:dyDescent="0.35">
      <c r="A364" t="s">
        <v>787</v>
      </c>
      <c r="B364" t="s">
        <v>627</v>
      </c>
      <c r="C364" t="s">
        <v>205</v>
      </c>
      <c r="D364" t="s">
        <v>170</v>
      </c>
      <c r="E364" s="1">
        <v>46246</v>
      </c>
      <c r="F364" s="2">
        <v>0.81377314814814816</v>
      </c>
      <c r="G364" t="s">
        <v>17</v>
      </c>
      <c r="H364" t="s">
        <v>18</v>
      </c>
      <c r="J364">
        <v>956.95</v>
      </c>
      <c r="L364" t="s">
        <v>28</v>
      </c>
      <c r="M364" t="s">
        <v>272</v>
      </c>
      <c r="N364" t="s">
        <v>30</v>
      </c>
    </row>
    <row r="365" spans="1:14" x14ac:dyDescent="0.35">
      <c r="A365" t="s">
        <v>788</v>
      </c>
      <c r="B365" t="s">
        <v>789</v>
      </c>
      <c r="C365" t="s">
        <v>139</v>
      </c>
      <c r="D365" t="s">
        <v>25</v>
      </c>
      <c r="E365" s="1">
        <v>45156</v>
      </c>
      <c r="F365" s="2">
        <v>0.69644675925925925</v>
      </c>
      <c r="G365" t="s">
        <v>49</v>
      </c>
      <c r="H365" t="s">
        <v>50</v>
      </c>
      <c r="I365">
        <v>15</v>
      </c>
      <c r="J365">
        <v>230.61</v>
      </c>
      <c r="L365" t="s">
        <v>55</v>
      </c>
      <c r="M365" t="s">
        <v>56</v>
      </c>
      <c r="N365" t="s">
        <v>133</v>
      </c>
    </row>
    <row r="366" spans="1:14" x14ac:dyDescent="0.35">
      <c r="A366" t="s">
        <v>790</v>
      </c>
      <c r="B366" t="s">
        <v>791</v>
      </c>
      <c r="C366" t="s">
        <v>24</v>
      </c>
      <c r="D366" t="s">
        <v>25</v>
      </c>
      <c r="E366" s="1">
        <v>45373</v>
      </c>
      <c r="F366" s="2">
        <v>0.38278935185185187</v>
      </c>
      <c r="G366" t="s">
        <v>33</v>
      </c>
      <c r="H366" t="s">
        <v>34</v>
      </c>
      <c r="I366">
        <v>5</v>
      </c>
      <c r="J366">
        <v>331.19</v>
      </c>
      <c r="L366" t="s">
        <v>59</v>
      </c>
      <c r="M366" t="s">
        <v>29</v>
      </c>
      <c r="N366" t="s">
        <v>231</v>
      </c>
    </row>
    <row r="367" spans="1:14" x14ac:dyDescent="0.35">
      <c r="A367" t="s">
        <v>792</v>
      </c>
      <c r="B367" t="s">
        <v>512</v>
      </c>
      <c r="C367" t="s">
        <v>139</v>
      </c>
      <c r="D367" t="s">
        <v>25</v>
      </c>
      <c r="E367" s="1">
        <v>45900</v>
      </c>
      <c r="F367" s="2">
        <v>0.88820601851851855</v>
      </c>
      <c r="G367" t="s">
        <v>49</v>
      </c>
      <c r="H367" t="s">
        <v>50</v>
      </c>
      <c r="J367">
        <v>263.88</v>
      </c>
      <c r="L367" t="s">
        <v>55</v>
      </c>
      <c r="M367" t="s">
        <v>155</v>
      </c>
      <c r="N367" t="s">
        <v>142</v>
      </c>
    </row>
    <row r="368" spans="1:14" x14ac:dyDescent="0.35">
      <c r="A368" t="s">
        <v>793</v>
      </c>
      <c r="B368" t="s">
        <v>794</v>
      </c>
      <c r="C368" t="s">
        <v>15</v>
      </c>
      <c r="D368" t="s">
        <v>16</v>
      </c>
      <c r="E368" s="1">
        <v>45833</v>
      </c>
      <c r="F368" s="2">
        <v>0.37390046296296298</v>
      </c>
      <c r="G368" t="s">
        <v>33</v>
      </c>
      <c r="H368" t="s">
        <v>34</v>
      </c>
      <c r="I368">
        <v>15</v>
      </c>
      <c r="J368">
        <v>367.09</v>
      </c>
      <c r="L368" t="s">
        <v>35</v>
      </c>
      <c r="M368" t="s">
        <v>20</v>
      </c>
      <c r="N368" t="s">
        <v>133</v>
      </c>
    </row>
    <row r="369" spans="1:14" x14ac:dyDescent="0.35">
      <c r="A369" t="s">
        <v>795</v>
      </c>
      <c r="B369" t="s">
        <v>796</v>
      </c>
      <c r="C369" t="s">
        <v>205</v>
      </c>
      <c r="D369" t="s">
        <v>170</v>
      </c>
      <c r="E369" s="1">
        <v>45933</v>
      </c>
      <c r="F369" s="2">
        <v>0.81040509259259264</v>
      </c>
      <c r="G369" t="s">
        <v>266</v>
      </c>
      <c r="H369" t="s">
        <v>34</v>
      </c>
      <c r="I369">
        <v>15</v>
      </c>
      <c r="J369">
        <v>340.08</v>
      </c>
      <c r="L369" t="s">
        <v>35</v>
      </c>
      <c r="M369" t="s">
        <v>272</v>
      </c>
      <c r="N369" t="s">
        <v>133</v>
      </c>
    </row>
    <row r="370" spans="1:14" x14ac:dyDescent="0.35">
      <c r="A370" t="s">
        <v>797</v>
      </c>
      <c r="B370" t="s">
        <v>293</v>
      </c>
      <c r="C370" t="s">
        <v>62</v>
      </c>
      <c r="D370" t="s">
        <v>63</v>
      </c>
      <c r="E370" s="1">
        <v>45835</v>
      </c>
      <c r="F370" s="2">
        <v>0.35083333333333333</v>
      </c>
      <c r="G370" t="s">
        <v>33</v>
      </c>
      <c r="H370" t="s">
        <v>34</v>
      </c>
      <c r="I370">
        <v>2</v>
      </c>
      <c r="L370" t="s">
        <v>35</v>
      </c>
      <c r="M370" t="s">
        <v>64</v>
      </c>
      <c r="N370" t="s">
        <v>109</v>
      </c>
    </row>
    <row r="371" spans="1:14" x14ac:dyDescent="0.35">
      <c r="A371" t="s">
        <v>798</v>
      </c>
      <c r="B371" t="s">
        <v>799</v>
      </c>
      <c r="C371" t="s">
        <v>150</v>
      </c>
      <c r="D371" t="s">
        <v>25</v>
      </c>
      <c r="E371" s="1">
        <v>45200</v>
      </c>
      <c r="F371" s="2">
        <v>0.44695601851851852</v>
      </c>
      <c r="G371" t="s">
        <v>154</v>
      </c>
      <c r="H371" t="s">
        <v>34</v>
      </c>
      <c r="I371">
        <v>4</v>
      </c>
      <c r="L371" t="s">
        <v>28</v>
      </c>
      <c r="M371" t="s">
        <v>29</v>
      </c>
    </row>
    <row r="372" spans="1:14" x14ac:dyDescent="0.35">
      <c r="A372" t="s">
        <v>800</v>
      </c>
      <c r="B372" t="s">
        <v>724</v>
      </c>
      <c r="C372" t="s">
        <v>24</v>
      </c>
      <c r="D372" t="s">
        <v>25</v>
      </c>
      <c r="E372" s="1">
        <v>45874</v>
      </c>
      <c r="F372" s="2">
        <v>0.53118055555555554</v>
      </c>
      <c r="G372" t="s">
        <v>26</v>
      </c>
      <c r="H372" t="s">
        <v>27</v>
      </c>
      <c r="J372">
        <v>660.12</v>
      </c>
      <c r="L372" t="s">
        <v>35</v>
      </c>
      <c r="M372" t="s">
        <v>56</v>
      </c>
    </row>
    <row r="373" spans="1:14" x14ac:dyDescent="0.35">
      <c r="A373" t="s">
        <v>801</v>
      </c>
      <c r="B373" t="s">
        <v>643</v>
      </c>
      <c r="C373" t="s">
        <v>77</v>
      </c>
      <c r="D373" t="s">
        <v>63</v>
      </c>
      <c r="E373" s="1">
        <v>45386</v>
      </c>
      <c r="F373" s="2">
        <v>0.49712962962962964</v>
      </c>
      <c r="G373" t="s">
        <v>33</v>
      </c>
      <c r="H373" t="s">
        <v>34</v>
      </c>
      <c r="I373">
        <v>8</v>
      </c>
      <c r="J373">
        <v>406.26</v>
      </c>
      <c r="L373" t="s">
        <v>35</v>
      </c>
      <c r="M373" t="s">
        <v>80</v>
      </c>
      <c r="N373" t="s">
        <v>74</v>
      </c>
    </row>
    <row r="374" spans="1:14" x14ac:dyDescent="0.35">
      <c r="A374" t="s">
        <v>802</v>
      </c>
      <c r="B374" t="s">
        <v>297</v>
      </c>
      <c r="C374" t="s">
        <v>205</v>
      </c>
      <c r="D374" t="s">
        <v>170</v>
      </c>
      <c r="E374" s="1">
        <v>46192</v>
      </c>
      <c r="F374" s="2">
        <v>0.47473379629629631</v>
      </c>
      <c r="G374" t="s">
        <v>187</v>
      </c>
      <c r="H374" t="s">
        <v>79</v>
      </c>
      <c r="J374">
        <v>185.36</v>
      </c>
      <c r="L374" t="s">
        <v>42</v>
      </c>
      <c r="M374" t="s">
        <v>272</v>
      </c>
    </row>
    <row r="375" spans="1:14" x14ac:dyDescent="0.35">
      <c r="A375" t="s">
        <v>803</v>
      </c>
      <c r="B375" t="s">
        <v>804</v>
      </c>
      <c r="C375" t="s">
        <v>77</v>
      </c>
      <c r="D375" t="s">
        <v>63</v>
      </c>
      <c r="E375" s="1">
        <v>46168</v>
      </c>
      <c r="F375" s="2">
        <v>0.3448148148148148</v>
      </c>
      <c r="G375" t="s">
        <v>49</v>
      </c>
      <c r="H375" t="s">
        <v>50</v>
      </c>
      <c r="I375">
        <v>7</v>
      </c>
      <c r="J375">
        <v>190.55</v>
      </c>
      <c r="L375" t="s">
        <v>180</v>
      </c>
      <c r="M375" t="s">
        <v>241</v>
      </c>
      <c r="N375" t="s">
        <v>103</v>
      </c>
    </row>
    <row r="376" spans="1:14" x14ac:dyDescent="0.35">
      <c r="A376" t="s">
        <v>805</v>
      </c>
      <c r="B376" t="s">
        <v>806</v>
      </c>
      <c r="C376" t="s">
        <v>136</v>
      </c>
      <c r="D376" t="s">
        <v>25</v>
      </c>
      <c r="E376" s="1">
        <v>45217</v>
      </c>
      <c r="F376" s="2">
        <v>0.38891203703703703</v>
      </c>
      <c r="G376" t="s">
        <v>26</v>
      </c>
      <c r="H376" t="s">
        <v>27</v>
      </c>
      <c r="I376">
        <v>14</v>
      </c>
      <c r="J376">
        <v>588.17999999999995</v>
      </c>
      <c r="L376" t="s">
        <v>42</v>
      </c>
      <c r="M376" t="s">
        <v>56</v>
      </c>
    </row>
    <row r="377" spans="1:14" x14ac:dyDescent="0.35">
      <c r="A377" t="s">
        <v>807</v>
      </c>
      <c r="B377" t="s">
        <v>808</v>
      </c>
      <c r="C377" t="s">
        <v>77</v>
      </c>
      <c r="D377" t="s">
        <v>63</v>
      </c>
      <c r="E377" s="1">
        <v>46065</v>
      </c>
      <c r="F377" s="2">
        <v>0.34177083333333336</v>
      </c>
      <c r="G377" t="s">
        <v>17</v>
      </c>
      <c r="H377" t="s">
        <v>18</v>
      </c>
      <c r="I377">
        <v>1</v>
      </c>
      <c r="J377">
        <v>881.78</v>
      </c>
      <c r="L377" t="s">
        <v>42</v>
      </c>
      <c r="M377" t="s">
        <v>80</v>
      </c>
      <c r="N377" t="s">
        <v>166</v>
      </c>
    </row>
    <row r="378" spans="1:14" x14ac:dyDescent="0.35">
      <c r="A378" t="s">
        <v>809</v>
      </c>
      <c r="B378" t="s">
        <v>810</v>
      </c>
      <c r="C378" t="s">
        <v>77</v>
      </c>
      <c r="D378" t="s">
        <v>63</v>
      </c>
      <c r="E378" s="1">
        <v>45230</v>
      </c>
      <c r="F378" s="2">
        <v>0.5452893518518519</v>
      </c>
      <c r="G378" t="s">
        <v>33</v>
      </c>
      <c r="H378" t="s">
        <v>34</v>
      </c>
      <c r="I378">
        <v>3</v>
      </c>
      <c r="J378">
        <v>484.51</v>
      </c>
      <c r="L378" t="s">
        <v>59</v>
      </c>
      <c r="M378" t="s">
        <v>80</v>
      </c>
      <c r="N378" t="s">
        <v>21</v>
      </c>
    </row>
    <row r="379" spans="1:14" x14ac:dyDescent="0.35">
      <c r="A379" t="s">
        <v>811</v>
      </c>
      <c r="B379" t="s">
        <v>812</v>
      </c>
      <c r="C379" t="s">
        <v>24</v>
      </c>
      <c r="D379" t="s">
        <v>25</v>
      </c>
      <c r="E379" s="1">
        <v>46313</v>
      </c>
      <c r="F379" s="2">
        <v>0.54256944444444444</v>
      </c>
      <c r="G379" t="s">
        <v>17</v>
      </c>
      <c r="H379" t="s">
        <v>18</v>
      </c>
      <c r="I379">
        <v>10</v>
      </c>
      <c r="J379">
        <v>853.03</v>
      </c>
      <c r="L379" t="s">
        <v>28</v>
      </c>
      <c r="M379" t="s">
        <v>29</v>
      </c>
      <c r="N379" t="s">
        <v>103</v>
      </c>
    </row>
    <row r="380" spans="1:14" x14ac:dyDescent="0.35">
      <c r="A380" t="s">
        <v>813</v>
      </c>
      <c r="B380" t="s">
        <v>814</v>
      </c>
      <c r="C380" t="s">
        <v>88</v>
      </c>
      <c r="D380" t="s">
        <v>41</v>
      </c>
      <c r="E380" s="1">
        <v>46270</v>
      </c>
      <c r="F380" s="2">
        <v>0.57414351851851853</v>
      </c>
      <c r="G380" t="s">
        <v>49</v>
      </c>
      <c r="H380" t="s">
        <v>50</v>
      </c>
      <c r="I380">
        <v>14</v>
      </c>
      <c r="L380" t="s">
        <v>240</v>
      </c>
      <c r="M380" t="s">
        <v>90</v>
      </c>
    </row>
    <row r="381" spans="1:14" x14ac:dyDescent="0.35">
      <c r="A381" t="s">
        <v>815</v>
      </c>
      <c r="B381" t="s">
        <v>702</v>
      </c>
      <c r="C381" t="s">
        <v>169</v>
      </c>
      <c r="D381" t="s">
        <v>170</v>
      </c>
      <c r="E381" s="1">
        <v>44969</v>
      </c>
      <c r="F381" s="2">
        <v>0.43390046296296297</v>
      </c>
      <c r="G381" t="s">
        <v>78</v>
      </c>
      <c r="H381" t="s">
        <v>79</v>
      </c>
      <c r="I381">
        <v>13</v>
      </c>
      <c r="J381">
        <v>131.56</v>
      </c>
      <c r="L381" t="s">
        <v>28</v>
      </c>
      <c r="M381" t="s">
        <v>272</v>
      </c>
    </row>
    <row r="382" spans="1:14" x14ac:dyDescent="0.35">
      <c r="A382" t="s">
        <v>816</v>
      </c>
      <c r="B382" t="s">
        <v>817</v>
      </c>
      <c r="C382" t="s">
        <v>40</v>
      </c>
      <c r="D382" t="s">
        <v>41</v>
      </c>
      <c r="E382" s="1">
        <v>45929</v>
      </c>
      <c r="F382" s="2">
        <v>0.60436342592592596</v>
      </c>
      <c r="G382" t="s">
        <v>49</v>
      </c>
      <c r="H382" t="s">
        <v>50</v>
      </c>
      <c r="I382">
        <v>2</v>
      </c>
      <c r="J382">
        <v>265.20999999999998</v>
      </c>
      <c r="L382" t="s">
        <v>59</v>
      </c>
      <c r="M382" t="s">
        <v>90</v>
      </c>
      <c r="N382" t="s">
        <v>172</v>
      </c>
    </row>
    <row r="383" spans="1:14" x14ac:dyDescent="0.35">
      <c r="A383" t="s">
        <v>818</v>
      </c>
      <c r="B383" t="s">
        <v>819</v>
      </c>
      <c r="C383" t="s">
        <v>139</v>
      </c>
      <c r="D383" t="s">
        <v>25</v>
      </c>
      <c r="E383" s="1">
        <v>46006</v>
      </c>
      <c r="F383" s="2">
        <v>0.52045138888888887</v>
      </c>
      <c r="G383" t="s">
        <v>17</v>
      </c>
      <c r="H383" t="s">
        <v>18</v>
      </c>
      <c r="I383">
        <v>8</v>
      </c>
      <c r="J383">
        <v>1292.0899999999999</v>
      </c>
      <c r="L383" t="s">
        <v>28</v>
      </c>
      <c r="M383" t="s">
        <v>155</v>
      </c>
      <c r="N383" t="s">
        <v>166</v>
      </c>
    </row>
    <row r="384" spans="1:14" x14ac:dyDescent="0.35">
      <c r="A384" t="s">
        <v>820</v>
      </c>
      <c r="B384" t="s">
        <v>821</v>
      </c>
      <c r="C384" t="s">
        <v>106</v>
      </c>
      <c r="D384" t="s">
        <v>107</v>
      </c>
      <c r="E384" s="1">
        <v>45120</v>
      </c>
      <c r="F384" s="2">
        <v>0.78236111111111106</v>
      </c>
      <c r="G384" t="s">
        <v>154</v>
      </c>
      <c r="H384" t="s">
        <v>34</v>
      </c>
      <c r="I384">
        <v>10</v>
      </c>
      <c r="L384" t="s">
        <v>180</v>
      </c>
      <c r="M384" t="s">
        <v>108</v>
      </c>
      <c r="N384" t="s">
        <v>125</v>
      </c>
    </row>
    <row r="385" spans="1:14" x14ac:dyDescent="0.35">
      <c r="A385" t="s">
        <v>822</v>
      </c>
      <c r="B385" t="s">
        <v>445</v>
      </c>
      <c r="C385" t="s">
        <v>128</v>
      </c>
      <c r="D385" t="s">
        <v>63</v>
      </c>
      <c r="E385" s="1">
        <v>46129</v>
      </c>
      <c r="F385" s="2">
        <v>0.86282407407407402</v>
      </c>
      <c r="G385" t="s">
        <v>184</v>
      </c>
      <c r="H385" t="s">
        <v>50</v>
      </c>
      <c r="I385">
        <v>6</v>
      </c>
      <c r="J385">
        <v>271.85000000000002</v>
      </c>
      <c r="L385" t="s">
        <v>35</v>
      </c>
      <c r="M385" t="s">
        <v>64</v>
      </c>
    </row>
    <row r="386" spans="1:14" x14ac:dyDescent="0.35">
      <c r="A386" t="s">
        <v>823</v>
      </c>
      <c r="B386" t="s">
        <v>814</v>
      </c>
      <c r="C386" t="s">
        <v>169</v>
      </c>
      <c r="D386" t="s">
        <v>170</v>
      </c>
      <c r="E386" s="1">
        <v>44954</v>
      </c>
      <c r="F386" s="2">
        <v>0.7711689814814815</v>
      </c>
      <c r="G386" t="s">
        <v>196</v>
      </c>
      <c r="H386" t="s">
        <v>79</v>
      </c>
      <c r="I386">
        <v>12</v>
      </c>
      <c r="J386">
        <v>156.5</v>
      </c>
      <c r="L386" t="s">
        <v>59</v>
      </c>
      <c r="M386" t="s">
        <v>272</v>
      </c>
      <c r="N386" t="s">
        <v>142</v>
      </c>
    </row>
    <row r="387" spans="1:14" x14ac:dyDescent="0.35">
      <c r="A387" t="s">
        <v>824</v>
      </c>
      <c r="B387" t="s">
        <v>825</v>
      </c>
      <c r="C387" t="s">
        <v>15</v>
      </c>
      <c r="D387" t="s">
        <v>16</v>
      </c>
      <c r="E387" s="1">
        <v>46352</v>
      </c>
      <c r="F387" s="2">
        <v>0.87584490740740739</v>
      </c>
      <c r="G387" t="s">
        <v>196</v>
      </c>
      <c r="H387" t="s">
        <v>79</v>
      </c>
      <c r="I387">
        <v>11</v>
      </c>
      <c r="J387">
        <v>183.16</v>
      </c>
      <c r="L387" t="s">
        <v>59</v>
      </c>
      <c r="M387" t="s">
        <v>20</v>
      </c>
      <c r="N387" t="s">
        <v>103</v>
      </c>
    </row>
    <row r="388" spans="1:14" x14ac:dyDescent="0.35">
      <c r="A388" t="s">
        <v>826</v>
      </c>
      <c r="B388" t="s">
        <v>827</v>
      </c>
      <c r="C388" t="s">
        <v>150</v>
      </c>
      <c r="D388" t="s">
        <v>25</v>
      </c>
      <c r="E388" s="1">
        <v>45892</v>
      </c>
      <c r="F388" s="2">
        <v>0.89487268518518515</v>
      </c>
      <c r="G388" t="s">
        <v>26</v>
      </c>
      <c r="H388" t="s">
        <v>27</v>
      </c>
      <c r="I388">
        <v>10</v>
      </c>
      <c r="J388">
        <v>597.52</v>
      </c>
      <c r="L388" t="s">
        <v>72</v>
      </c>
      <c r="M388" t="s">
        <v>29</v>
      </c>
      <c r="N388" t="s">
        <v>231</v>
      </c>
    </row>
    <row r="389" spans="1:14" x14ac:dyDescent="0.35">
      <c r="A389" t="s">
        <v>828</v>
      </c>
      <c r="B389" t="s">
        <v>251</v>
      </c>
      <c r="C389" t="s">
        <v>128</v>
      </c>
      <c r="D389" t="s">
        <v>63</v>
      </c>
      <c r="E389" s="1">
        <v>45925</v>
      </c>
      <c r="F389" s="2">
        <v>0.64765046296296291</v>
      </c>
      <c r="G389" t="s">
        <v>49</v>
      </c>
      <c r="H389" t="s">
        <v>50</v>
      </c>
      <c r="I389">
        <v>15</v>
      </c>
      <c r="J389">
        <v>229.67</v>
      </c>
      <c r="L389" t="s">
        <v>55</v>
      </c>
      <c r="M389" t="s">
        <v>241</v>
      </c>
      <c r="N389" t="s">
        <v>249</v>
      </c>
    </row>
    <row r="390" spans="1:14" x14ac:dyDescent="0.35">
      <c r="A390" t="s">
        <v>829</v>
      </c>
      <c r="B390" t="s">
        <v>830</v>
      </c>
      <c r="C390" t="s">
        <v>77</v>
      </c>
      <c r="D390" t="s">
        <v>63</v>
      </c>
      <c r="E390" s="1">
        <v>45845</v>
      </c>
      <c r="F390" s="2">
        <v>0.3404861111111111</v>
      </c>
      <c r="G390" t="s">
        <v>26</v>
      </c>
      <c r="H390" t="s">
        <v>27</v>
      </c>
      <c r="I390">
        <v>8</v>
      </c>
      <c r="J390">
        <v>545.91</v>
      </c>
      <c r="L390" t="s">
        <v>28</v>
      </c>
      <c r="M390" t="s">
        <v>241</v>
      </c>
    </row>
    <row r="391" spans="1:14" x14ac:dyDescent="0.35">
      <c r="A391" t="s">
        <v>831</v>
      </c>
      <c r="B391" t="s">
        <v>832</v>
      </c>
      <c r="C391" t="s">
        <v>40</v>
      </c>
      <c r="D391" t="s">
        <v>41</v>
      </c>
      <c r="E391" s="1">
        <v>45258</v>
      </c>
      <c r="F391" s="2">
        <v>0.53109953703703705</v>
      </c>
      <c r="G391" t="s">
        <v>17</v>
      </c>
      <c r="H391" t="s">
        <v>18</v>
      </c>
      <c r="I391">
        <v>3</v>
      </c>
      <c r="J391">
        <v>878.16</v>
      </c>
      <c r="L391" t="s">
        <v>42</v>
      </c>
      <c r="M391" t="s">
        <v>43</v>
      </c>
    </row>
    <row r="392" spans="1:14" x14ac:dyDescent="0.35">
      <c r="A392" t="s">
        <v>833</v>
      </c>
      <c r="B392" t="s">
        <v>727</v>
      </c>
      <c r="C392" t="s">
        <v>205</v>
      </c>
      <c r="D392" t="s">
        <v>170</v>
      </c>
      <c r="E392" s="1">
        <v>46313</v>
      </c>
      <c r="F392" s="2">
        <v>0.45341435185185186</v>
      </c>
      <c r="G392" t="s">
        <v>49</v>
      </c>
      <c r="H392" t="s">
        <v>50</v>
      </c>
      <c r="L392" t="s">
        <v>42</v>
      </c>
      <c r="M392" t="s">
        <v>171</v>
      </c>
      <c r="N392" t="s">
        <v>103</v>
      </c>
    </row>
    <row r="393" spans="1:14" x14ac:dyDescent="0.35">
      <c r="A393" t="s">
        <v>834</v>
      </c>
      <c r="B393" t="s">
        <v>202</v>
      </c>
      <c r="C393" t="s">
        <v>67</v>
      </c>
      <c r="D393" t="s">
        <v>16</v>
      </c>
      <c r="E393" s="1">
        <v>45236</v>
      </c>
      <c r="F393" s="2">
        <v>0.79443287037037036</v>
      </c>
      <c r="G393" t="s">
        <v>78</v>
      </c>
      <c r="H393" t="s">
        <v>79</v>
      </c>
      <c r="I393">
        <v>14</v>
      </c>
      <c r="J393">
        <v>193.1</v>
      </c>
      <c r="L393" t="s">
        <v>59</v>
      </c>
      <c r="M393" t="s">
        <v>20</v>
      </c>
      <c r="N393" t="s">
        <v>166</v>
      </c>
    </row>
    <row r="394" spans="1:14" x14ac:dyDescent="0.35">
      <c r="A394" t="s">
        <v>835</v>
      </c>
      <c r="B394" t="s">
        <v>325</v>
      </c>
      <c r="C394" t="s">
        <v>40</v>
      </c>
      <c r="D394" t="s">
        <v>41</v>
      </c>
      <c r="E394" s="1">
        <v>45525</v>
      </c>
      <c r="F394" s="2">
        <v>0.85591435185185183</v>
      </c>
      <c r="G394" t="s">
        <v>17</v>
      </c>
      <c r="H394" t="s">
        <v>18</v>
      </c>
      <c r="I394">
        <v>6</v>
      </c>
      <c r="J394">
        <v>868.89</v>
      </c>
      <c r="L394" t="s">
        <v>35</v>
      </c>
      <c r="M394" t="s">
        <v>90</v>
      </c>
      <c r="N394" t="s">
        <v>44</v>
      </c>
    </row>
    <row r="395" spans="1:14" x14ac:dyDescent="0.35">
      <c r="A395" t="s">
        <v>836</v>
      </c>
      <c r="B395" t="s">
        <v>764</v>
      </c>
      <c r="C395" t="s">
        <v>70</v>
      </c>
      <c r="D395" t="s">
        <v>71</v>
      </c>
      <c r="E395" s="1">
        <v>45689</v>
      </c>
      <c r="F395" s="2">
        <v>0.56993055555555561</v>
      </c>
      <c r="G395" t="s">
        <v>26</v>
      </c>
      <c r="H395" t="s">
        <v>27</v>
      </c>
      <c r="I395">
        <v>13</v>
      </c>
      <c r="J395">
        <v>716.16</v>
      </c>
      <c r="L395" t="s">
        <v>35</v>
      </c>
      <c r="M395" t="s">
        <v>73</v>
      </c>
      <c r="N395" t="s">
        <v>95</v>
      </c>
    </row>
    <row r="396" spans="1:14" x14ac:dyDescent="0.35">
      <c r="A396" t="s">
        <v>837</v>
      </c>
      <c r="B396" t="s">
        <v>838</v>
      </c>
      <c r="C396" t="s">
        <v>150</v>
      </c>
      <c r="D396" t="s">
        <v>25</v>
      </c>
      <c r="E396" s="1">
        <v>44947</v>
      </c>
      <c r="F396" s="2">
        <v>0.38981481481481484</v>
      </c>
      <c r="G396" t="s">
        <v>78</v>
      </c>
      <c r="H396" t="s">
        <v>79</v>
      </c>
      <c r="I396">
        <v>3</v>
      </c>
      <c r="J396">
        <v>149.49</v>
      </c>
      <c r="L396" t="s">
        <v>55</v>
      </c>
      <c r="M396" t="s">
        <v>155</v>
      </c>
      <c r="N396" t="s">
        <v>166</v>
      </c>
    </row>
    <row r="397" spans="1:14" x14ac:dyDescent="0.35">
      <c r="A397" t="s">
        <v>839</v>
      </c>
      <c r="B397" t="s">
        <v>840</v>
      </c>
      <c r="C397" t="s">
        <v>136</v>
      </c>
      <c r="D397" t="s">
        <v>25</v>
      </c>
      <c r="E397" s="1">
        <v>45785</v>
      </c>
      <c r="F397" s="2">
        <v>0.78096064814814814</v>
      </c>
      <c r="G397" t="s">
        <v>33</v>
      </c>
      <c r="H397" t="s">
        <v>34</v>
      </c>
      <c r="I397">
        <v>6</v>
      </c>
      <c r="J397">
        <v>321.58</v>
      </c>
      <c r="L397" t="s">
        <v>28</v>
      </c>
      <c r="M397" t="s">
        <v>56</v>
      </c>
      <c r="N397" t="s">
        <v>142</v>
      </c>
    </row>
    <row r="398" spans="1:14" x14ac:dyDescent="0.35">
      <c r="A398" t="s">
        <v>841</v>
      </c>
      <c r="B398" t="s">
        <v>598</v>
      </c>
      <c r="C398" t="s">
        <v>98</v>
      </c>
      <c r="D398" t="s">
        <v>99</v>
      </c>
      <c r="E398" s="1">
        <v>45832</v>
      </c>
      <c r="F398" s="2">
        <v>0.86853009259259262</v>
      </c>
      <c r="G398" t="s">
        <v>78</v>
      </c>
      <c r="H398" t="s">
        <v>79</v>
      </c>
      <c r="I398">
        <v>15</v>
      </c>
      <c r="J398">
        <v>122.77</v>
      </c>
      <c r="L398" t="s">
        <v>28</v>
      </c>
      <c r="M398" t="s">
        <v>100</v>
      </c>
      <c r="N398" t="s">
        <v>172</v>
      </c>
    </row>
    <row r="399" spans="1:14" x14ac:dyDescent="0.35">
      <c r="A399" t="s">
        <v>842</v>
      </c>
      <c r="B399" t="s">
        <v>374</v>
      </c>
      <c r="C399" t="s">
        <v>128</v>
      </c>
      <c r="D399" t="s">
        <v>63</v>
      </c>
      <c r="E399" s="1">
        <v>46228</v>
      </c>
      <c r="F399" s="2">
        <v>0.33467592592592593</v>
      </c>
      <c r="G399" t="s">
        <v>49</v>
      </c>
      <c r="H399" t="s">
        <v>50</v>
      </c>
      <c r="I399">
        <v>4</v>
      </c>
      <c r="J399">
        <v>209.43</v>
      </c>
      <c r="L399" t="s">
        <v>42</v>
      </c>
      <c r="M399" t="s">
        <v>64</v>
      </c>
      <c r="N399" t="s">
        <v>30</v>
      </c>
    </row>
    <row r="400" spans="1:14" x14ac:dyDescent="0.35">
      <c r="A400" t="s">
        <v>843</v>
      </c>
      <c r="B400" t="s">
        <v>844</v>
      </c>
      <c r="C400" t="s">
        <v>15</v>
      </c>
      <c r="D400" t="s">
        <v>16</v>
      </c>
      <c r="E400" s="1">
        <v>45537</v>
      </c>
      <c r="F400" s="2">
        <v>0.63975694444444442</v>
      </c>
      <c r="G400" t="s">
        <v>49</v>
      </c>
      <c r="H400" t="s">
        <v>50</v>
      </c>
      <c r="I400">
        <v>15</v>
      </c>
      <c r="J400">
        <v>249.21</v>
      </c>
      <c r="L400" t="s">
        <v>59</v>
      </c>
      <c r="M400" t="s">
        <v>36</v>
      </c>
      <c r="N400" t="s">
        <v>109</v>
      </c>
    </row>
    <row r="401" spans="1:14" x14ac:dyDescent="0.35">
      <c r="A401" t="s">
        <v>845</v>
      </c>
      <c r="B401" t="s">
        <v>215</v>
      </c>
      <c r="C401" t="s">
        <v>136</v>
      </c>
      <c r="D401" t="s">
        <v>25</v>
      </c>
      <c r="E401" s="1">
        <v>45666</v>
      </c>
      <c r="F401" s="2">
        <v>0.38177083333333334</v>
      </c>
      <c r="G401" t="s">
        <v>78</v>
      </c>
      <c r="H401" t="s">
        <v>79</v>
      </c>
      <c r="I401">
        <v>2</v>
      </c>
      <c r="L401" t="s">
        <v>42</v>
      </c>
      <c r="M401" t="s">
        <v>29</v>
      </c>
      <c r="N401" t="s">
        <v>30</v>
      </c>
    </row>
    <row r="402" spans="1:14" x14ac:dyDescent="0.35">
      <c r="A402" t="s">
        <v>846</v>
      </c>
      <c r="B402" t="s">
        <v>847</v>
      </c>
      <c r="C402" t="s">
        <v>169</v>
      </c>
      <c r="D402" t="s">
        <v>170</v>
      </c>
      <c r="E402" s="1">
        <v>46123</v>
      </c>
      <c r="F402" s="2">
        <v>0.76907407407407402</v>
      </c>
      <c r="G402" t="s">
        <v>196</v>
      </c>
      <c r="H402" t="s">
        <v>79</v>
      </c>
      <c r="I402">
        <v>7</v>
      </c>
      <c r="J402">
        <v>130.83000000000001</v>
      </c>
      <c r="L402" t="s">
        <v>35</v>
      </c>
      <c r="M402" t="s">
        <v>171</v>
      </c>
      <c r="N402" t="s">
        <v>172</v>
      </c>
    </row>
    <row r="403" spans="1:14" x14ac:dyDescent="0.35">
      <c r="A403" t="s">
        <v>848</v>
      </c>
      <c r="B403" t="s">
        <v>849</v>
      </c>
      <c r="C403" t="s">
        <v>47</v>
      </c>
      <c r="D403" t="s">
        <v>48</v>
      </c>
      <c r="E403" s="1">
        <v>45248</v>
      </c>
      <c r="F403" s="2">
        <v>0.40201388888888889</v>
      </c>
      <c r="G403" t="s">
        <v>78</v>
      </c>
      <c r="H403" t="s">
        <v>79</v>
      </c>
      <c r="I403">
        <v>6</v>
      </c>
      <c r="J403">
        <v>123.02</v>
      </c>
      <c r="L403" t="s">
        <v>35</v>
      </c>
      <c r="M403" t="s">
        <v>94</v>
      </c>
    </row>
    <row r="404" spans="1:14" x14ac:dyDescent="0.35">
      <c r="A404" t="s">
        <v>850</v>
      </c>
      <c r="B404" t="s">
        <v>398</v>
      </c>
      <c r="C404" t="s">
        <v>106</v>
      </c>
      <c r="D404" t="s">
        <v>107</v>
      </c>
      <c r="E404" s="1">
        <v>45551</v>
      </c>
      <c r="F404" s="2">
        <v>0.46657407407407409</v>
      </c>
      <c r="G404" t="s">
        <v>78</v>
      </c>
      <c r="H404" t="s">
        <v>79</v>
      </c>
      <c r="J404">
        <v>125.07</v>
      </c>
      <c r="L404" t="s">
        <v>55</v>
      </c>
      <c r="M404" t="s">
        <v>112</v>
      </c>
      <c r="N404" t="s">
        <v>133</v>
      </c>
    </row>
    <row r="405" spans="1:14" x14ac:dyDescent="0.35">
      <c r="A405" t="s">
        <v>851</v>
      </c>
      <c r="B405" t="s">
        <v>852</v>
      </c>
      <c r="C405" t="s">
        <v>139</v>
      </c>
      <c r="D405" t="s">
        <v>25</v>
      </c>
      <c r="E405" s="1">
        <v>45960</v>
      </c>
      <c r="F405" s="2">
        <v>0.85326388888888893</v>
      </c>
      <c r="G405" t="s">
        <v>78</v>
      </c>
      <c r="H405" t="s">
        <v>79</v>
      </c>
      <c r="I405">
        <v>12</v>
      </c>
      <c r="J405">
        <v>179.99</v>
      </c>
      <c r="L405" t="s">
        <v>59</v>
      </c>
      <c r="M405" t="s">
        <v>56</v>
      </c>
      <c r="N405" t="s">
        <v>166</v>
      </c>
    </row>
    <row r="406" spans="1:14" x14ac:dyDescent="0.35">
      <c r="A406" t="s">
        <v>853</v>
      </c>
      <c r="B406" t="s">
        <v>854</v>
      </c>
      <c r="C406" t="s">
        <v>70</v>
      </c>
      <c r="D406" t="s">
        <v>71</v>
      </c>
      <c r="E406" s="1">
        <v>46375</v>
      </c>
      <c r="F406" s="2">
        <v>0.73668981481481477</v>
      </c>
      <c r="G406" t="s">
        <v>33</v>
      </c>
      <c r="H406" t="s">
        <v>34</v>
      </c>
      <c r="I406">
        <v>2</v>
      </c>
      <c r="J406">
        <v>337.03</v>
      </c>
      <c r="L406" t="s">
        <v>59</v>
      </c>
      <c r="M406" t="s">
        <v>190</v>
      </c>
      <c r="N406" t="s">
        <v>172</v>
      </c>
    </row>
    <row r="407" spans="1:14" x14ac:dyDescent="0.35">
      <c r="A407" t="s">
        <v>855</v>
      </c>
      <c r="B407" t="s">
        <v>856</v>
      </c>
      <c r="C407" t="s">
        <v>67</v>
      </c>
      <c r="D407" t="s">
        <v>16</v>
      </c>
      <c r="E407" s="1">
        <v>44965</v>
      </c>
      <c r="F407" s="2">
        <v>0.84253472222222225</v>
      </c>
      <c r="G407" t="s">
        <v>184</v>
      </c>
      <c r="H407" t="s">
        <v>50</v>
      </c>
      <c r="I407">
        <v>13</v>
      </c>
      <c r="J407">
        <v>211.25</v>
      </c>
      <c r="L407" t="s">
        <v>857</v>
      </c>
      <c r="M407" t="s">
        <v>36</v>
      </c>
      <c r="N407" t="s">
        <v>231</v>
      </c>
    </row>
    <row r="408" spans="1:14" x14ac:dyDescent="0.35">
      <c r="A408" t="s">
        <v>858</v>
      </c>
      <c r="B408" t="s">
        <v>859</v>
      </c>
      <c r="C408" t="s">
        <v>205</v>
      </c>
      <c r="D408" t="s">
        <v>170</v>
      </c>
      <c r="E408" s="1">
        <v>45161</v>
      </c>
      <c r="F408" s="2">
        <v>0.67381944444444442</v>
      </c>
      <c r="G408" t="s">
        <v>26</v>
      </c>
      <c r="H408" t="s">
        <v>27</v>
      </c>
      <c r="I408">
        <v>13</v>
      </c>
      <c r="L408" t="s">
        <v>28</v>
      </c>
      <c r="M408" t="s">
        <v>272</v>
      </c>
      <c r="N408" t="s">
        <v>133</v>
      </c>
    </row>
    <row r="409" spans="1:14" x14ac:dyDescent="0.35">
      <c r="A409" t="s">
        <v>860</v>
      </c>
      <c r="B409" t="s">
        <v>604</v>
      </c>
      <c r="C409" t="s">
        <v>88</v>
      </c>
      <c r="D409" t="s">
        <v>41</v>
      </c>
      <c r="E409" s="1">
        <v>45772</v>
      </c>
      <c r="F409" s="2">
        <v>0.51726851851851852</v>
      </c>
      <c r="G409" t="s">
        <v>17</v>
      </c>
      <c r="H409" t="s">
        <v>18</v>
      </c>
      <c r="J409">
        <v>1098.5</v>
      </c>
      <c r="L409" t="s">
        <v>35</v>
      </c>
      <c r="M409" t="s">
        <v>90</v>
      </c>
      <c r="N409" t="s">
        <v>37</v>
      </c>
    </row>
    <row r="410" spans="1:14" x14ac:dyDescent="0.35">
      <c r="A410" t="s">
        <v>861</v>
      </c>
      <c r="B410" t="s">
        <v>862</v>
      </c>
      <c r="C410" t="s">
        <v>77</v>
      </c>
      <c r="D410" t="s">
        <v>63</v>
      </c>
      <c r="E410" s="1">
        <v>45761</v>
      </c>
      <c r="F410" s="2">
        <v>0.34554398148148147</v>
      </c>
      <c r="G410" t="s">
        <v>49</v>
      </c>
      <c r="H410" t="s">
        <v>50</v>
      </c>
      <c r="I410">
        <v>4</v>
      </c>
      <c r="J410">
        <v>247.67</v>
      </c>
      <c r="L410" t="s">
        <v>35</v>
      </c>
      <c r="M410" t="s">
        <v>80</v>
      </c>
      <c r="N410" t="s">
        <v>172</v>
      </c>
    </row>
    <row r="411" spans="1:14" x14ac:dyDescent="0.35">
      <c r="A411" t="s">
        <v>863</v>
      </c>
      <c r="B411" t="s">
        <v>769</v>
      </c>
      <c r="C411" t="s">
        <v>24</v>
      </c>
      <c r="D411" t="s">
        <v>25</v>
      </c>
      <c r="E411" s="1">
        <v>46063</v>
      </c>
      <c r="F411" s="2">
        <v>0.33393518518518517</v>
      </c>
      <c r="G411" t="s">
        <v>78</v>
      </c>
      <c r="H411" t="s">
        <v>79</v>
      </c>
      <c r="I411">
        <v>10</v>
      </c>
      <c r="J411">
        <v>192.91</v>
      </c>
      <c r="L411" t="s">
        <v>19</v>
      </c>
      <c r="M411" t="s">
        <v>29</v>
      </c>
    </row>
    <row r="412" spans="1:14" x14ac:dyDescent="0.35">
      <c r="A412" t="s">
        <v>864</v>
      </c>
      <c r="B412" t="s">
        <v>709</v>
      </c>
      <c r="C412" t="s">
        <v>195</v>
      </c>
      <c r="D412" t="s">
        <v>63</v>
      </c>
      <c r="E412" s="1">
        <v>45020</v>
      </c>
      <c r="F412" s="2">
        <v>0.8156944444444445</v>
      </c>
      <c r="G412" t="s">
        <v>17</v>
      </c>
      <c r="H412" t="s">
        <v>18</v>
      </c>
      <c r="I412">
        <v>7</v>
      </c>
      <c r="J412">
        <v>1215.25</v>
      </c>
      <c r="L412" t="s">
        <v>59</v>
      </c>
      <c r="M412" t="s">
        <v>241</v>
      </c>
      <c r="N412" t="s">
        <v>172</v>
      </c>
    </row>
    <row r="413" spans="1:14" x14ac:dyDescent="0.35">
      <c r="A413" t="s">
        <v>865</v>
      </c>
      <c r="B413" t="s">
        <v>591</v>
      </c>
      <c r="C413" t="s">
        <v>205</v>
      </c>
      <c r="D413" t="s">
        <v>170</v>
      </c>
      <c r="E413" s="1">
        <v>45486</v>
      </c>
      <c r="F413" s="2">
        <v>0.76413194444444443</v>
      </c>
      <c r="G413" t="s">
        <v>26</v>
      </c>
      <c r="H413" t="s">
        <v>27</v>
      </c>
      <c r="I413">
        <v>10</v>
      </c>
      <c r="J413">
        <v>754.21</v>
      </c>
      <c r="L413" t="s">
        <v>663</v>
      </c>
      <c r="M413" t="s">
        <v>171</v>
      </c>
      <c r="N413" t="s">
        <v>21</v>
      </c>
    </row>
    <row r="414" spans="1:14" x14ac:dyDescent="0.35">
      <c r="A414" t="s">
        <v>866</v>
      </c>
      <c r="B414" t="s">
        <v>729</v>
      </c>
      <c r="C414" t="s">
        <v>77</v>
      </c>
      <c r="D414" t="s">
        <v>63</v>
      </c>
      <c r="E414" s="1">
        <v>46029</v>
      </c>
      <c r="F414" s="2">
        <v>0.87269675925925927</v>
      </c>
      <c r="G414" t="s">
        <v>17</v>
      </c>
      <c r="H414" t="s">
        <v>18</v>
      </c>
      <c r="I414">
        <v>15</v>
      </c>
      <c r="J414">
        <v>1135.81</v>
      </c>
      <c r="L414" t="s">
        <v>55</v>
      </c>
      <c r="M414" t="s">
        <v>241</v>
      </c>
      <c r="N414" t="s">
        <v>30</v>
      </c>
    </row>
    <row r="415" spans="1:14" x14ac:dyDescent="0.35">
      <c r="A415" t="s">
        <v>867</v>
      </c>
      <c r="B415" t="s">
        <v>102</v>
      </c>
      <c r="C415" t="s">
        <v>15</v>
      </c>
      <c r="D415" t="s">
        <v>16</v>
      </c>
      <c r="E415" s="1">
        <v>45685</v>
      </c>
      <c r="F415" s="2">
        <v>0.62516203703703699</v>
      </c>
      <c r="G415" t="s">
        <v>17</v>
      </c>
      <c r="H415" t="s">
        <v>18</v>
      </c>
      <c r="I415">
        <v>11</v>
      </c>
      <c r="J415">
        <v>978.91</v>
      </c>
      <c r="L415" t="s">
        <v>55</v>
      </c>
      <c r="M415" t="s">
        <v>36</v>
      </c>
      <c r="N415" t="s">
        <v>44</v>
      </c>
    </row>
    <row r="416" spans="1:14" x14ac:dyDescent="0.35">
      <c r="A416" t="s">
        <v>868</v>
      </c>
      <c r="B416" t="s">
        <v>869</v>
      </c>
      <c r="C416" t="s">
        <v>77</v>
      </c>
      <c r="D416" t="s">
        <v>63</v>
      </c>
      <c r="E416" s="1">
        <v>44941</v>
      </c>
      <c r="F416" s="2">
        <v>0.90306712962962965</v>
      </c>
      <c r="G416" t="s">
        <v>54</v>
      </c>
      <c r="H416" t="s">
        <v>18</v>
      </c>
      <c r="I416">
        <v>10</v>
      </c>
      <c r="J416">
        <v>885.24</v>
      </c>
      <c r="L416" t="s">
        <v>35</v>
      </c>
      <c r="M416" t="s">
        <v>80</v>
      </c>
    </row>
    <row r="417" spans="1:14" x14ac:dyDescent="0.35">
      <c r="A417" t="s">
        <v>870</v>
      </c>
      <c r="B417" t="s">
        <v>754</v>
      </c>
      <c r="C417" t="s">
        <v>179</v>
      </c>
      <c r="D417" t="s">
        <v>41</v>
      </c>
      <c r="E417" s="1">
        <v>45998</v>
      </c>
      <c r="F417" s="2">
        <v>0.49633101851851852</v>
      </c>
      <c r="G417" t="s">
        <v>17</v>
      </c>
      <c r="H417" t="s">
        <v>18</v>
      </c>
      <c r="I417">
        <v>12</v>
      </c>
      <c r="J417">
        <v>1107.23</v>
      </c>
      <c r="L417" t="s">
        <v>117</v>
      </c>
      <c r="M417" t="s">
        <v>90</v>
      </c>
      <c r="N417" t="s">
        <v>166</v>
      </c>
    </row>
    <row r="418" spans="1:14" x14ac:dyDescent="0.35">
      <c r="A418" t="s">
        <v>871</v>
      </c>
      <c r="B418" t="s">
        <v>420</v>
      </c>
      <c r="C418" t="s">
        <v>205</v>
      </c>
      <c r="D418" t="s">
        <v>170</v>
      </c>
      <c r="E418" s="1">
        <v>46319</v>
      </c>
      <c r="F418" s="2">
        <v>0.64135416666666667</v>
      </c>
      <c r="G418" t="s">
        <v>54</v>
      </c>
      <c r="H418" t="s">
        <v>18</v>
      </c>
      <c r="I418">
        <v>4</v>
      </c>
      <c r="L418" t="s">
        <v>42</v>
      </c>
      <c r="M418" t="s">
        <v>272</v>
      </c>
    </row>
    <row r="419" spans="1:14" x14ac:dyDescent="0.35">
      <c r="A419" t="s">
        <v>872</v>
      </c>
      <c r="B419" t="s">
        <v>873</v>
      </c>
      <c r="C419" t="s">
        <v>24</v>
      </c>
      <c r="D419" t="s">
        <v>25</v>
      </c>
      <c r="E419" s="1">
        <v>45079</v>
      </c>
      <c r="F419" s="2">
        <v>0.46552083333333333</v>
      </c>
      <c r="G419" t="s">
        <v>33</v>
      </c>
      <c r="H419" t="s">
        <v>34</v>
      </c>
      <c r="J419">
        <v>325.57</v>
      </c>
      <c r="L419" t="s">
        <v>42</v>
      </c>
      <c r="M419" t="s">
        <v>29</v>
      </c>
      <c r="N419" t="s">
        <v>133</v>
      </c>
    </row>
    <row r="420" spans="1:14" x14ac:dyDescent="0.35">
      <c r="A420" t="s">
        <v>874</v>
      </c>
      <c r="B420" t="s">
        <v>355</v>
      </c>
      <c r="C420" t="s">
        <v>47</v>
      </c>
      <c r="D420" t="s">
        <v>48</v>
      </c>
      <c r="E420" s="1">
        <v>45991</v>
      </c>
      <c r="F420" s="2">
        <v>0.40946759259259258</v>
      </c>
      <c r="G420" t="s">
        <v>184</v>
      </c>
      <c r="H420" t="s">
        <v>50</v>
      </c>
      <c r="I420">
        <v>2</v>
      </c>
      <c r="J420">
        <v>239.68</v>
      </c>
      <c r="L420" t="s">
        <v>55</v>
      </c>
      <c r="M420" t="s">
        <v>51</v>
      </c>
      <c r="N420" t="s">
        <v>249</v>
      </c>
    </row>
    <row r="421" spans="1:14" x14ac:dyDescent="0.35">
      <c r="A421" t="s">
        <v>875</v>
      </c>
      <c r="B421" t="s">
        <v>876</v>
      </c>
      <c r="C421" t="s">
        <v>128</v>
      </c>
      <c r="D421" t="s">
        <v>63</v>
      </c>
      <c r="E421" s="1">
        <v>45061</v>
      </c>
      <c r="F421" s="2">
        <v>0.75248842592592591</v>
      </c>
      <c r="G421" t="s">
        <v>17</v>
      </c>
      <c r="H421" t="s">
        <v>18</v>
      </c>
      <c r="I421">
        <v>7</v>
      </c>
      <c r="J421">
        <v>1108.6500000000001</v>
      </c>
      <c r="L421" t="s">
        <v>42</v>
      </c>
      <c r="M421" t="s">
        <v>64</v>
      </c>
      <c r="N421" t="s">
        <v>21</v>
      </c>
    </row>
    <row r="422" spans="1:14" x14ac:dyDescent="0.35">
      <c r="A422" t="s">
        <v>877</v>
      </c>
      <c r="B422" t="s">
        <v>878</v>
      </c>
      <c r="C422" t="s">
        <v>98</v>
      </c>
      <c r="D422" t="s">
        <v>99</v>
      </c>
      <c r="E422" s="1">
        <v>45622</v>
      </c>
      <c r="F422" s="2">
        <v>0.64815972222222218</v>
      </c>
      <c r="G422" t="s">
        <v>49</v>
      </c>
      <c r="H422" t="s">
        <v>50</v>
      </c>
      <c r="I422">
        <v>2</v>
      </c>
      <c r="L422" t="s">
        <v>55</v>
      </c>
      <c r="M422" t="s">
        <v>216</v>
      </c>
      <c r="N422" t="s">
        <v>109</v>
      </c>
    </row>
    <row r="423" spans="1:14" x14ac:dyDescent="0.35">
      <c r="A423" t="s">
        <v>879</v>
      </c>
      <c r="B423" t="s">
        <v>880</v>
      </c>
      <c r="C423" t="s">
        <v>98</v>
      </c>
      <c r="D423" t="s">
        <v>99</v>
      </c>
      <c r="E423" s="1">
        <v>45307</v>
      </c>
      <c r="F423" s="2">
        <v>0.45210648148148147</v>
      </c>
      <c r="G423" t="s">
        <v>17</v>
      </c>
      <c r="H423" t="s">
        <v>18</v>
      </c>
      <c r="I423">
        <v>10</v>
      </c>
      <c r="J423">
        <v>1279.8699999999999</v>
      </c>
      <c r="L423" t="s">
        <v>28</v>
      </c>
      <c r="M423" t="s">
        <v>122</v>
      </c>
      <c r="N423" t="s">
        <v>109</v>
      </c>
    </row>
    <row r="424" spans="1:14" x14ac:dyDescent="0.35">
      <c r="A424" t="s">
        <v>881</v>
      </c>
      <c r="B424" t="s">
        <v>102</v>
      </c>
      <c r="C424" t="s">
        <v>136</v>
      </c>
      <c r="D424" t="s">
        <v>25</v>
      </c>
      <c r="E424" s="1">
        <v>45044</v>
      </c>
      <c r="F424" s="2">
        <v>0.70339120370370367</v>
      </c>
      <c r="G424" t="s">
        <v>49</v>
      </c>
      <c r="H424" t="s">
        <v>50</v>
      </c>
      <c r="I424">
        <v>7</v>
      </c>
      <c r="J424">
        <v>283.42</v>
      </c>
      <c r="L424" t="s">
        <v>35</v>
      </c>
      <c r="M424" t="s">
        <v>29</v>
      </c>
      <c r="N424" t="s">
        <v>95</v>
      </c>
    </row>
    <row r="425" spans="1:14" x14ac:dyDescent="0.35">
      <c r="A425" t="s">
        <v>882</v>
      </c>
      <c r="B425" t="s">
        <v>883</v>
      </c>
      <c r="C425" t="s">
        <v>98</v>
      </c>
      <c r="D425" t="s">
        <v>99</v>
      </c>
      <c r="E425" s="1">
        <v>45784</v>
      </c>
      <c r="F425" s="2">
        <v>0.42116898148148146</v>
      </c>
      <c r="G425" t="s">
        <v>17</v>
      </c>
      <c r="H425" t="s">
        <v>18</v>
      </c>
      <c r="I425">
        <v>15</v>
      </c>
      <c r="L425" t="s">
        <v>35</v>
      </c>
      <c r="M425" t="s">
        <v>122</v>
      </c>
      <c r="N425" t="s">
        <v>103</v>
      </c>
    </row>
    <row r="426" spans="1:14" x14ac:dyDescent="0.35">
      <c r="A426" t="s">
        <v>884</v>
      </c>
      <c r="B426" t="s">
        <v>885</v>
      </c>
      <c r="C426" t="s">
        <v>169</v>
      </c>
      <c r="D426" t="s">
        <v>170</v>
      </c>
      <c r="E426" s="1">
        <v>45746</v>
      </c>
      <c r="F426" s="2">
        <v>0.87526620370370367</v>
      </c>
      <c r="G426" t="s">
        <v>120</v>
      </c>
      <c r="H426" t="s">
        <v>18</v>
      </c>
      <c r="L426" t="s">
        <v>55</v>
      </c>
      <c r="M426" t="s">
        <v>272</v>
      </c>
    </row>
    <row r="427" spans="1:14" x14ac:dyDescent="0.35">
      <c r="A427" t="s">
        <v>886</v>
      </c>
      <c r="B427" t="s">
        <v>887</v>
      </c>
      <c r="C427" t="s">
        <v>24</v>
      </c>
      <c r="D427" t="s">
        <v>25</v>
      </c>
      <c r="E427" s="1">
        <v>45283</v>
      </c>
      <c r="F427" s="2">
        <v>0.89947916666666672</v>
      </c>
      <c r="G427" t="s">
        <v>26</v>
      </c>
      <c r="H427" t="s">
        <v>27</v>
      </c>
      <c r="I427">
        <v>3</v>
      </c>
      <c r="J427">
        <v>753.19</v>
      </c>
      <c r="L427" t="s">
        <v>55</v>
      </c>
      <c r="M427" t="s">
        <v>29</v>
      </c>
      <c r="N427" t="s">
        <v>37</v>
      </c>
    </row>
    <row r="428" spans="1:14" x14ac:dyDescent="0.35">
      <c r="A428" t="s">
        <v>888</v>
      </c>
      <c r="B428" t="s">
        <v>889</v>
      </c>
      <c r="C428" t="s">
        <v>40</v>
      </c>
      <c r="D428" t="s">
        <v>41</v>
      </c>
      <c r="E428" s="1">
        <v>46006</v>
      </c>
      <c r="F428" s="2">
        <v>0.794525462962963</v>
      </c>
      <c r="G428" t="s">
        <v>26</v>
      </c>
      <c r="H428" t="s">
        <v>27</v>
      </c>
      <c r="I428">
        <v>3</v>
      </c>
      <c r="J428">
        <v>537.5</v>
      </c>
      <c r="L428" t="s">
        <v>42</v>
      </c>
      <c r="M428" t="s">
        <v>90</v>
      </c>
      <c r="N428" t="s">
        <v>44</v>
      </c>
    </row>
    <row r="429" spans="1:14" x14ac:dyDescent="0.35">
      <c r="A429" t="s">
        <v>890</v>
      </c>
      <c r="B429" t="s">
        <v>891</v>
      </c>
      <c r="C429" t="s">
        <v>67</v>
      </c>
      <c r="D429" t="s">
        <v>16</v>
      </c>
      <c r="E429" s="1">
        <v>45231</v>
      </c>
      <c r="F429" s="2">
        <v>0.46087962962962964</v>
      </c>
      <c r="G429" t="s">
        <v>33</v>
      </c>
      <c r="H429" t="s">
        <v>34</v>
      </c>
      <c r="I429">
        <v>14</v>
      </c>
      <c r="J429">
        <v>436.82</v>
      </c>
      <c r="L429" t="s">
        <v>42</v>
      </c>
      <c r="M429" t="s">
        <v>20</v>
      </c>
      <c r="N429" t="s">
        <v>249</v>
      </c>
    </row>
    <row r="430" spans="1:14" x14ac:dyDescent="0.35">
      <c r="A430" t="s">
        <v>892</v>
      </c>
      <c r="B430" t="s">
        <v>893</v>
      </c>
      <c r="C430" t="s">
        <v>136</v>
      </c>
      <c r="D430" t="s">
        <v>25</v>
      </c>
      <c r="E430" s="1">
        <v>45948</v>
      </c>
      <c r="F430" s="2">
        <v>0.43107638888888888</v>
      </c>
      <c r="G430" t="s">
        <v>33</v>
      </c>
      <c r="H430" t="s">
        <v>34</v>
      </c>
      <c r="I430">
        <v>8</v>
      </c>
      <c r="J430">
        <v>418.96</v>
      </c>
      <c r="L430" t="s">
        <v>28</v>
      </c>
      <c r="M430" t="s">
        <v>56</v>
      </c>
      <c r="N430" t="s">
        <v>166</v>
      </c>
    </row>
    <row r="431" spans="1:14" x14ac:dyDescent="0.35">
      <c r="A431" t="s">
        <v>894</v>
      </c>
      <c r="B431" t="s">
        <v>804</v>
      </c>
      <c r="C431" t="s">
        <v>169</v>
      </c>
      <c r="D431" t="s">
        <v>170</v>
      </c>
      <c r="E431" s="1">
        <v>45553</v>
      </c>
      <c r="F431" s="2">
        <v>0.60844907407407411</v>
      </c>
      <c r="G431" t="s">
        <v>33</v>
      </c>
      <c r="H431" t="s">
        <v>34</v>
      </c>
      <c r="I431">
        <v>2</v>
      </c>
      <c r="J431">
        <v>336.81</v>
      </c>
      <c r="L431" t="s">
        <v>433</v>
      </c>
      <c r="M431" t="s">
        <v>272</v>
      </c>
      <c r="N431" t="s">
        <v>172</v>
      </c>
    </row>
    <row r="432" spans="1:14" x14ac:dyDescent="0.35">
      <c r="A432" t="s">
        <v>895</v>
      </c>
      <c r="B432" t="s">
        <v>896</v>
      </c>
      <c r="C432" t="s">
        <v>40</v>
      </c>
      <c r="D432" t="s">
        <v>41</v>
      </c>
      <c r="E432" s="1">
        <v>45576</v>
      </c>
      <c r="F432" s="2">
        <v>0.58415509259259257</v>
      </c>
      <c r="G432" t="s">
        <v>78</v>
      </c>
      <c r="H432" t="s">
        <v>79</v>
      </c>
      <c r="I432">
        <v>11</v>
      </c>
      <c r="L432" t="s">
        <v>55</v>
      </c>
      <c r="M432" t="s">
        <v>43</v>
      </c>
      <c r="N432" t="s">
        <v>249</v>
      </c>
    </row>
    <row r="433" spans="1:14" x14ac:dyDescent="0.35">
      <c r="A433" t="s">
        <v>897</v>
      </c>
      <c r="B433" t="s">
        <v>578</v>
      </c>
      <c r="C433" t="s">
        <v>40</v>
      </c>
      <c r="D433" t="s">
        <v>41</v>
      </c>
      <c r="E433" s="1">
        <v>46045</v>
      </c>
      <c r="F433" s="2">
        <v>0.55049768518518516</v>
      </c>
      <c r="G433" t="s">
        <v>33</v>
      </c>
      <c r="H433" t="s">
        <v>34</v>
      </c>
      <c r="I433">
        <v>12</v>
      </c>
      <c r="J433">
        <v>456.71</v>
      </c>
      <c r="L433" t="s">
        <v>28</v>
      </c>
      <c r="M433" t="s">
        <v>90</v>
      </c>
    </row>
    <row r="434" spans="1:14" x14ac:dyDescent="0.35">
      <c r="A434" t="s">
        <v>898</v>
      </c>
      <c r="B434" t="s">
        <v>899</v>
      </c>
      <c r="C434" t="s">
        <v>169</v>
      </c>
      <c r="D434" t="s">
        <v>170</v>
      </c>
      <c r="E434" s="1">
        <v>46114</v>
      </c>
      <c r="F434" s="2">
        <v>0.65384259259259259</v>
      </c>
      <c r="G434" t="s">
        <v>26</v>
      </c>
      <c r="H434" t="s">
        <v>27</v>
      </c>
      <c r="I434">
        <v>4</v>
      </c>
      <c r="J434">
        <v>704.74</v>
      </c>
      <c r="L434" t="s">
        <v>42</v>
      </c>
      <c r="M434" t="s">
        <v>171</v>
      </c>
      <c r="N434" t="s">
        <v>95</v>
      </c>
    </row>
    <row r="435" spans="1:14" x14ac:dyDescent="0.35">
      <c r="A435" t="s">
        <v>900</v>
      </c>
      <c r="B435" t="s">
        <v>901</v>
      </c>
      <c r="C435" t="s">
        <v>195</v>
      </c>
      <c r="D435" t="s">
        <v>63</v>
      </c>
      <c r="E435" s="1">
        <v>46356</v>
      </c>
      <c r="F435" s="2">
        <v>0.47810185185185183</v>
      </c>
      <c r="G435" t="s">
        <v>49</v>
      </c>
      <c r="H435" t="s">
        <v>50</v>
      </c>
    </row>
  </sheetData>
  <autoFilter ref="A1:U1" xr:uid="{25A793C4-FD69-434D-A31B-24347ED19D4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Prepared Sales Dataset</vt:lpstr>
      <vt:lpstr>Product-cost</vt:lpstr>
      <vt:lpstr>Taxrate</vt:lpstr>
      <vt:lpstr>Discount Rate</vt:lpstr>
      <vt:lpstr>Uncleaned Sales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abisola awoyemi</dc:creator>
  <cp:lastModifiedBy>Jane Anwulika</cp:lastModifiedBy>
  <dcterms:created xsi:type="dcterms:W3CDTF">2026-02-13T07:48:33Z</dcterms:created>
  <dcterms:modified xsi:type="dcterms:W3CDTF">2026-02-17T21:40:21Z</dcterms:modified>
</cp:coreProperties>
</file>